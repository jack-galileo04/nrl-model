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534" documentId="11_F25DC773A252ABDACC1048EDD159412A5BDE58E9" xr6:coauthVersionLast="47" xr6:coauthVersionMax="47" xr10:uidLastSave="{976C05C1-EB7C-4DC1-A504-282EFB99FA76}"/>
  <bookViews>
    <workbookView xWindow="-120" yWindow="-120" windowWidth="29040" windowHeight="15720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prediction_log!$A$1:$G$52</definedName>
    <definedName name="ExternalData_2" localSheetId="4" hidden="1">bets_log!$A$1:$H$9</definedName>
    <definedName name="ExternalData_3" localSheetId="2" hidden="1">odds_log!$A$1:$I$221</definedName>
    <definedName name="ExternalData_4" localSheetId="0" hidden="1">'Fact Betting Table'!$A$1:$L$45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39" i="17"/>
  <c r="P40" i="17"/>
  <c r="P41" i="17"/>
  <c r="P42" i="17"/>
  <c r="P43" i="17"/>
  <c r="P44" i="17"/>
  <c r="P45" i="17"/>
  <c r="Q2" i="17" a="1"/>
  <c r="Q3" i="17" a="1"/>
  <c r="Q4" i="17" a="1"/>
  <c r="Q5" i="17" a="1"/>
  <c r="Q6" i="17" a="1"/>
  <c r="Q7" i="17" a="1"/>
  <c r="Q8" i="17" a="1"/>
  <c r="Q9" i="17" a="1"/>
  <c r="Q10" i="17" a="1"/>
  <c r="Q11" i="17" a="1"/>
  <c r="Q12" i="17" a="1"/>
  <c r="Q13" i="17" a="1"/>
  <c r="Q14" i="17" a="1"/>
  <c r="Q15" i="17" a="1"/>
  <c r="Q16" i="17" a="1"/>
  <c r="Q17" i="17" a="1"/>
  <c r="Q18" i="17" a="1"/>
  <c r="Q19" i="17" a="1"/>
  <c r="Q20" i="17" a="1"/>
  <c r="Q21" i="17" a="1"/>
  <c r="Q22" i="17" a="1"/>
  <c r="Q23" i="17" a="1"/>
  <c r="Q24" i="17" a="1"/>
  <c r="Q25" i="17" a="1"/>
  <c r="Q26" i="17" a="1"/>
  <c r="Q27" i="17" a="1"/>
  <c r="Q28" i="17" a="1"/>
  <c r="Q29" i="17" a="1"/>
  <c r="Q30" i="17" a="1"/>
  <c r="Q31" i="17" a="1"/>
  <c r="Q32" i="17" a="1"/>
  <c r="Q33" i="17" a="1"/>
  <c r="Q34" i="17" a="1"/>
  <c r="Q35" i="17" a="1"/>
  <c r="Q36" i="17" a="1"/>
  <c r="Q37" i="17" a="1"/>
  <c r="Q38" i="17" a="1"/>
  <c r="Q39" i="17" a="1"/>
  <c r="Q40" i="17" a="1"/>
  <c r="Q41" i="17" a="1"/>
  <c r="Q42" i="17" a="1"/>
  <c r="Q43" i="17" a="1"/>
  <c r="Q44" i="17" a="1"/>
  <c r="Q45" i="17" a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T39" i="17"/>
  <c r="T40" i="17"/>
  <c r="T41" i="17"/>
  <c r="T42" i="17"/>
  <c r="T43" i="17"/>
  <c r="T44" i="17"/>
  <c r="T45" i="17"/>
  <c r="Q26" i="17" l="1"/>
  <c r="T26" i="17" s="1"/>
  <c r="Q27" i="17"/>
  <c r="T27" i="17" s="1"/>
  <c r="S20" i="17"/>
  <c r="S21" i="17"/>
  <c r="Q20" i="17"/>
  <c r="T20" i="17" s="1"/>
  <c r="Q24" i="17"/>
  <c r="T24" i="17" s="1"/>
  <c r="Q25" i="17"/>
  <c r="T25" i="17" s="1"/>
  <c r="S24" i="17"/>
  <c r="S26" i="17"/>
  <c r="M44" i="17"/>
  <c r="M45" i="17"/>
  <c r="Q22" i="17"/>
  <c r="T22" i="17" s="1"/>
  <c r="Q31" i="17"/>
  <c r="T31" i="17" s="1"/>
  <c r="Q33" i="17"/>
  <c r="T33" i="17" s="1"/>
  <c r="Q34" i="17"/>
  <c r="T34" i="17" s="1"/>
  <c r="M6" i="17"/>
  <c r="N6" i="17" s="1" a="1"/>
  <c r="N6" i="17" s="1"/>
  <c r="Q23" i="17"/>
  <c r="T23" i="17" s="1"/>
  <c r="Q38" i="17"/>
  <c r="T38" i="17" s="1"/>
  <c r="Q21" i="17"/>
  <c r="T21" i="17" s="1"/>
  <c r="Q29" i="17"/>
  <c r="T29" i="17" s="1"/>
  <c r="Q37" i="17"/>
  <c r="T37" i="17" s="1"/>
  <c r="S22" i="17"/>
  <c r="Q28" i="17"/>
  <c r="T28" i="17" s="1"/>
  <c r="Q35" i="17"/>
  <c r="T35" i="17" s="1"/>
  <c r="Q36" i="17"/>
  <c r="T36" i="17" s="1"/>
  <c r="S23" i="17"/>
  <c r="S25" i="17"/>
  <c r="Q30" i="17"/>
  <c r="T30" i="17" s="1"/>
  <c r="Q32" i="17"/>
  <c r="T32" i="17" s="1"/>
  <c r="Q19" i="17"/>
  <c r="T19" i="17" s="1"/>
  <c r="S17" i="17"/>
  <c r="S18" i="17"/>
  <c r="S19" i="17"/>
  <c r="M5" i="17"/>
  <c r="N5" i="17" s="1" a="1"/>
  <c r="N5" i="17" s="1"/>
  <c r="M8" i="17"/>
  <c r="N8" i="17" s="1" a="1"/>
  <c r="N8" i="17" s="1"/>
  <c r="M10" i="17"/>
  <c r="N10" i="17" s="1" a="1"/>
  <c r="N10" i="17" s="1"/>
  <c r="M12" i="17"/>
  <c r="N12" i="17" s="1" a="1"/>
  <c r="N12" i="17" s="1"/>
  <c r="M16" i="17"/>
  <c r="N16" i="17" s="1" a="1"/>
  <c r="N16" i="17" s="1"/>
  <c r="M20" i="17"/>
  <c r="N20" i="17" s="1" a="1"/>
  <c r="N20" i="17" s="1"/>
  <c r="M31" i="17"/>
  <c r="N31" i="17" s="1" a="1"/>
  <c r="M33" i="17"/>
  <c r="N33" i="17" s="1" a="1"/>
  <c r="M35" i="17"/>
  <c r="N35" i="17" s="1" a="1"/>
  <c r="M38" i="17"/>
  <c r="N38" i="17" s="1" a="1"/>
  <c r="N33" i="17"/>
  <c r="P33" i="17" s="1"/>
  <c r="Q12" i="17"/>
  <c r="T12" i="17" s="1"/>
  <c r="Q17" i="17"/>
  <c r="T17" i="17" s="1"/>
  <c r="S15" i="17"/>
  <c r="S27" i="17"/>
  <c r="S28" i="17"/>
  <c r="S41" i="17"/>
  <c r="S42" i="17"/>
  <c r="N31" i="17"/>
  <c r="P31" i="17" s="1"/>
  <c r="Q2" i="17"/>
  <c r="T2" i="17" s="1"/>
  <c r="Q4" i="17"/>
  <c r="T4" i="17" s="1"/>
  <c r="S9" i="17"/>
  <c r="N44" i="17" a="1"/>
  <c r="N44" i="17" s="1"/>
  <c r="N45" i="17" a="1"/>
  <c r="N45" i="17" s="1"/>
  <c r="S5" i="17"/>
  <c r="S8" i="17"/>
  <c r="Q18" i="17"/>
  <c r="T18" i="17" s="1"/>
  <c r="S3" i="17"/>
  <c r="S37" i="17"/>
  <c r="S38" i="17"/>
  <c r="S44" i="17"/>
  <c r="M2" i="17"/>
  <c r="N2" i="17" s="1" a="1"/>
  <c r="N2" i="17" s="1"/>
  <c r="M7" i="17"/>
  <c r="N7" i="17" s="1" a="1"/>
  <c r="N7" i="17" s="1"/>
  <c r="M9" i="17"/>
  <c r="N9" i="17" s="1" a="1"/>
  <c r="N9" i="17" s="1"/>
  <c r="M11" i="17"/>
  <c r="N11" i="17" s="1" a="1"/>
  <c r="N11" i="17" s="1"/>
  <c r="M13" i="17"/>
  <c r="N13" i="17" s="1" a="1"/>
  <c r="N13" i="17" s="1"/>
  <c r="M15" i="17"/>
  <c r="N15" i="17" s="1" a="1"/>
  <c r="N15" i="17" s="1"/>
  <c r="M18" i="17"/>
  <c r="N18" i="17" s="1" a="1"/>
  <c r="N18" i="17" s="1"/>
  <c r="M21" i="17"/>
  <c r="N21" i="17" s="1" a="1"/>
  <c r="N21" i="17" s="1"/>
  <c r="M23" i="17"/>
  <c r="N23" i="17" s="1" a="1"/>
  <c r="N23" i="17" s="1"/>
  <c r="M32" i="17"/>
  <c r="N32" i="17" s="1" a="1"/>
  <c r="N32" i="17" s="1"/>
  <c r="P32" i="17" s="1"/>
  <c r="M36" i="17"/>
  <c r="N36" i="17" s="1" a="1"/>
  <c r="N36" i="17" s="1"/>
  <c r="P36" i="17" s="1"/>
  <c r="M39" i="17"/>
  <c r="N39" i="17" s="1" a="1"/>
  <c r="M43" i="17"/>
  <c r="N43" i="17" s="1" a="1"/>
  <c r="N43" i="17" s="1"/>
  <c r="Q15" i="17"/>
  <c r="T15" i="17" s="1"/>
  <c r="Q41" i="17"/>
  <c r="S6" i="17"/>
  <c r="S35" i="17"/>
  <c r="S45" i="17"/>
  <c r="M3" i="17"/>
  <c r="N3" i="17" s="1" a="1"/>
  <c r="N3" i="17" s="1"/>
  <c r="M4" i="17"/>
  <c r="N4" i="17" s="1" a="1"/>
  <c r="N4" i="17" s="1"/>
  <c r="M19" i="17"/>
  <c r="N19" i="17" s="1" a="1"/>
  <c r="N19" i="17" s="1"/>
  <c r="M29" i="17"/>
  <c r="N29" i="17" s="1" a="1"/>
  <c r="N29" i="17" s="1"/>
  <c r="P29" i="17" s="1"/>
  <c r="M34" i="17"/>
  <c r="N34" i="17" s="1" a="1"/>
  <c r="N34" i="17" s="1"/>
  <c r="P34" i="17" s="1"/>
  <c r="M40" i="17"/>
  <c r="N40" i="17" s="1" a="1"/>
  <c r="N40" i="17" s="1"/>
  <c r="M41" i="17"/>
  <c r="N41" i="17" s="1" a="1"/>
  <c r="N41" i="17" s="1"/>
  <c r="Q3" i="17"/>
  <c r="T3" i="17" s="1"/>
  <c r="Q13" i="17"/>
  <c r="T13" i="17" s="1"/>
  <c r="Q40" i="17"/>
  <c r="S4" i="17"/>
  <c r="S16" i="17"/>
  <c r="S36" i="17"/>
  <c r="S43" i="17"/>
  <c r="M14" i="17"/>
  <c r="N14" i="17" s="1" a="1"/>
  <c r="N14" i="17" s="1"/>
  <c r="M17" i="17"/>
  <c r="N17" i="17" s="1" a="1"/>
  <c r="N17" i="17" s="1"/>
  <c r="Q9" i="17"/>
  <c r="T9" i="17" s="1"/>
  <c r="Q44" i="17"/>
  <c r="S2" i="17"/>
  <c r="S29" i="17"/>
  <c r="S32" i="17"/>
  <c r="S33" i="17"/>
  <c r="S34" i="17"/>
  <c r="S11" i="17"/>
  <c r="M22" i="17"/>
  <c r="N22" i="17" s="1" a="1"/>
  <c r="N22" i="17" s="1"/>
  <c r="M25" i="17"/>
  <c r="N25" i="17" s="1" a="1"/>
  <c r="N25" i="17" s="1"/>
  <c r="M26" i="17"/>
  <c r="N26" i="17" s="1" a="1"/>
  <c r="N26" i="17" s="1"/>
  <c r="P26" i="17" s="1"/>
  <c r="Q10" i="17"/>
  <c r="T10" i="17" s="1"/>
  <c r="Q11" i="17"/>
  <c r="T11" i="17" s="1"/>
  <c r="M24" i="17"/>
  <c r="N24" i="17" s="1" a="1"/>
  <c r="N24" i="17" s="1"/>
  <c r="M27" i="17"/>
  <c r="N27" i="17" s="1" a="1"/>
  <c r="N27" i="17" s="1"/>
  <c r="P27" i="17" s="1"/>
  <c r="Q14" i="17"/>
  <c r="T14" i="17" s="1"/>
  <c r="Q42" i="17"/>
  <c r="Q43" i="17"/>
  <c r="S7" i="17"/>
  <c r="S40" i="17"/>
  <c r="M37" i="17"/>
  <c r="N37" i="17" s="1" a="1"/>
  <c r="N37" i="17" s="1"/>
  <c r="P37" i="17" s="1"/>
  <c r="M42" i="17"/>
  <c r="N42" i="17" s="1" a="1"/>
  <c r="N42" i="17" s="1"/>
  <c r="S10" i="17"/>
  <c r="S12" i="17"/>
  <c r="S13" i="17"/>
  <c r="S14" i="17"/>
  <c r="M28" i="17"/>
  <c r="N28" i="17" s="1" a="1"/>
  <c r="N28" i="17" s="1"/>
  <c r="P28" i="17" s="1"/>
  <c r="M30" i="17"/>
  <c r="N30" i="17" s="1" a="1"/>
  <c r="N30" i="17" s="1"/>
  <c r="P30" i="17" s="1"/>
  <c r="Q5" i="17"/>
  <c r="T5" i="17" s="1"/>
  <c r="Q6" i="17"/>
  <c r="T6" i="17" s="1"/>
  <c r="Q7" i="17"/>
  <c r="T7" i="17" s="1"/>
  <c r="Q8" i="17"/>
  <c r="T8" i="17" s="1"/>
  <c r="Q16" i="17"/>
  <c r="T16" i="17" s="1"/>
  <c r="Q39" i="17"/>
  <c r="Q45" i="17"/>
  <c r="S30" i="17"/>
  <c r="S31" i="17"/>
  <c r="S39" i="17"/>
  <c r="N38" i="17" l="1"/>
  <c r="P38" i="17" s="1"/>
  <c r="N35" i="17"/>
  <c r="P35" i="17" s="1"/>
  <c r="N3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<sst xmlns="http://schemas.openxmlformats.org/spreadsheetml/2006/main" count="1553" uniqueCount="74">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</sst>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39" unboundColumnsRight="8">
    <queryTableFields count="20">
      <queryTableField id="20" name="match_id" tableColumnId="1"/>
      <queryTableField id="4" name="Date" tableColumnId="4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3">
    <queryTableFields count="7">
      <queryTableField id="3" name="match_id" tableColumnId="3"/>
      <queryTableField id="4" name="date" tableColumnId="4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45" tableType="queryTable" totalsRowShown="0">
  <autoFilter ref="A1:T45" xr:uid="{A489C213-3137-4702-AB2F-77518D733C9E}"/>
  <sortState xmlns:xlrd2="http://schemas.microsoft.com/office/spreadsheetml/2017/richdata2" ref="A2:T45">
    <sortCondition ref="A1:A45"/>
  </sortState>
  <tableColumns count="20">
    <tableColumn id="1" xr3:uid="{06A7AFB6-2725-4749-BA56-D9104726D73A}" uniqueName="1" name="match_id" queryTableFieldId="20"/>
    <tableColumn id="4" xr3:uid="{EBBBD2A2-AEF1-40BC-8DE9-6AB25AEA9293}" uniqueName="4" name="date" queryTableFieldId="4" dataDxfId="34"/>
    <tableColumn id="2" xr3:uid="{D601273A-8045-474A-9A33-40A47C431DD3}" uniqueName="2" name="home_team" queryTableFieldId="21" dataDxfId="33"/>
    <tableColumn id="3" xr3:uid="{7580D706-9FB9-4514-8F94-0D9BF1581E19}" uniqueName="3" name="away_team" queryTableFieldId="22" dataDxfId="3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31"/>
    <tableColumn id="8" xr3:uid="{CD595DA2-826E-4B90-84EC-FF3BD1890DB9}" uniqueName="8" name="commence_time" queryTableFieldId="26" dataDxfId="3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29"/>
    <tableColumn id="20" xr3:uid="{158FD286-E9BF-464A-BC3C-E9B8A589D134}" uniqueName="20" name="ev_bet" queryTableFieldId="29" dataDxfId="28"/>
    <tableColumn id="15" xr3:uid="{BE994BCA-5DF9-492C-84E4-66BA1ABDF9ED}" uniqueName="15" name="Ev HomeAway" queryTableFieldId="14" dataDxfId="2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2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25"/>
    <tableColumn id="14" xr3:uid="{0EC28417-A937-484F-9FE1-42317BC57402}" uniqueName="14" name="CLV" queryTableFieldId="13" dataDxfId="2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2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2"/>
    <tableColumn id="19" xr3:uid="{41A1C30B-F95C-486A-8BD2-EE905146F725}" uniqueName="19" name="Result Team" queryTableFieldId="19" dataDxfId="2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2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52" tableType="queryTable" totalsRowShown="0">
  <autoFilter ref="A1:G52" xr:uid="{EA0556F7-543C-4944-978D-945459AD5562}"/>
  <tableColumns count="7">
    <tableColumn id="3" xr3:uid="{34C834AF-3D03-4725-98AF-90E773DD7FAF}" uniqueName="3" name="match_id" queryTableFieldId="3"/>
    <tableColumn id="4" xr3:uid="{2295DE2A-41B0-4CF1-892C-1083C94A72F9}" uniqueName="4" name="date" queryTableFieldId="4" dataDxfId="19"/>
    <tableColumn id="6" xr3:uid="{AAD13361-A670-4D79-935D-59B2B5E3ED9B}" uniqueName="6" name="home_team" queryTableFieldId="6" dataDxfId="18"/>
    <tableColumn id="5" xr3:uid="{8A7BEB81-9F1E-4892-9BEE-CE6C90139899}" uniqueName="5" name="away_team" queryTableFieldId="5" dataDxfId="17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221" tableType="queryTable" totalsRowShown="0">
  <autoFilter ref="A1:I221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15"/>
    <tableColumn id="6" xr3:uid="{71CC9BAC-72BA-4972-BF45-A0D2C7247690}" uniqueName="6" name="home_team" queryTableFieldId="6" dataDxfId="14"/>
    <tableColumn id="5" xr3:uid="{6107C972-122F-4898-903F-60380DEA5474}" uniqueName="5" name="away_team" queryTableFieldId="5" dataDxfId="13"/>
    <tableColumn id="3" xr3:uid="{8AB2C615-3EFF-47AD-8CEE-B71D5F38A190}" uniqueName="3" name="bookmaker" queryTableFieldId="3" dataDxfId="12"/>
    <tableColumn id="7" xr3:uid="{78FC2688-610C-47E0-A269-FFD76B018E97}" uniqueName="7" name="market" queryTableFieldId="10" dataDxfId="11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9"/>
    <tableColumn id="3" xr3:uid="{3D7A90B9-B2B0-4C8A-970C-5F732C502C39}" name="Home Team" dataDxfId="8"/>
    <tableColumn id="4" xr3:uid="{BBB57180-5B02-46A3-A7D5-51D9DD02582C}" name="Away Team" dataDxfId="7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6"/>
    <tableColumn id="8" xr3:uid="{83C13F5A-7E41-4F96-8CCF-C24E006D5B4C}" name="Last Update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4"/>
    <tableColumn id="4" xr3:uid="{0F4FCA7F-F413-4E4E-82A4-C16B4A1D3732}" name="home_team" dataDxfId="3"/>
    <tableColumn id="5" xr3:uid="{C3A27DFA-71EF-47EC-B0D1-753ADB422FEE}" name="away_team" dataDxfId="2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1"/>
    <tableColumn id="9" xr3:uid="{ED7C4800-BB8D-4429-875C-46A948B2E040}" name="home_awa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45"/>
  <sheetViews>
    <sheetView tabSelected="1" topLeftCell="B16" zoomScale="85" zoomScaleNormal="85" workbookViewId="0">
      <selection activeCell="R48" sqref="R48"/>
    </sheetView>
  </sheetViews>
  <sheetFormatPr defaultRowHeight="15" x14ac:dyDescent="0.25"/>
  <cols>
    <col min="1" max="1" width="11.5703125" bestFit="1" customWidth="1"/>
    <col min="2" max="2" width="16.140625" bestFit="1" customWidth="1"/>
    <col min="3" max="3" width="14" bestFit="1" customWidth="1"/>
    <col min="4" max="4" width="13.710937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8.28515625" bestFit="1" customWidth="1"/>
    <col min="9" max="9" width="19.5703125" bestFit="1" customWidth="1"/>
    <col min="10" max="10" width="18.85546875" bestFit="1" customWidth="1"/>
    <col min="11" max="11" width="13.85546875" bestFit="1" customWidth="1"/>
    <col min="12" max="12" width="10.5703125" bestFit="1" customWidth="1"/>
    <col min="13" max="13" width="16.28515625" bestFit="1" customWidth="1"/>
    <col min="14" max="14" width="10.5703125" bestFit="1" customWidth="1"/>
    <col min="15" max="15" width="18.5703125" bestFit="1" customWidth="1"/>
    <col min="16" max="16" width="12.85546875" bestFit="1" customWidth="1"/>
    <col min="17" max="17" width="23.28515625" bestFit="1" customWidth="1"/>
    <col min="18" max="18" width="19.7109375" bestFit="1" customWidth="1"/>
    <col min="19" max="19" width="14.28515625" bestFit="1" customWidth="1"/>
    <col min="20" max="20" width="20.85546875" bestFit="1" customWidth="1"/>
    <col min="21" max="21" width="10.42578125" bestFit="1" customWidth="1"/>
    <col min="22" max="22" width="16.28515625" bestFit="1" customWidth="1"/>
    <col min="23" max="23" width="10.42578125" bestFit="1" customWidth="1"/>
    <col min="24" max="24" width="18.5703125" bestFit="1" customWidth="1"/>
    <col min="25" max="25" width="12.85546875" bestFit="1" customWidth="1"/>
    <col min="26" max="26" width="23.28515625" bestFit="1" customWidth="1"/>
    <col min="27" max="27" width="19.5703125" bestFit="1" customWidth="1"/>
    <col min="28" max="28" width="14.42578125" bestFit="1" customWidth="1"/>
    <col min="29" max="29" width="20.85546875" bestFit="1" customWidth="1"/>
  </cols>
  <sheetData>
    <row r="1" spans="1:20" x14ac:dyDescent="0.25">
      <c r="A1" t="s">
        <v>0</v>
      </c>
      <c r="B1" t="s">
        <v>1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25">
      <c r="A2">
        <v>129990801</v>
      </c>
      <c r="B2" s="2">
        <v>46135.416666666664</v>
      </c>
      <c r="C2" t="s">
        <v>5</v>
      </c>
      <c r="D2" t="s">
        <v>4</v>
      </c>
      <c r="E2">
        <v>0.46201175451278698</v>
      </c>
      <c r="F2">
        <v>0.53798824548721302</v>
      </c>
      <c r="G2" t="s">
        <v>4</v>
      </c>
      <c r="H2" s="2"/>
      <c r="M2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" t="str">
        <f>IF(Fact_Betting_Table[[#This Row],[B365 Closing Line]]="", "", Fact_Betting_Table[[#This Row],[Bet Line]]/Fact_Betting_Table[[#This Row],[B365 Closing Line]]-1)</f>
        <v/>
      </c>
      <c r="Q2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>
        <v>1</v>
      </c>
      <c r="S2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25">
      <c r="A3">
        <v>129990802</v>
      </c>
      <c r="B3" s="2">
        <v>46136.416666666664</v>
      </c>
      <c r="C3" t="s">
        <v>7</v>
      </c>
      <c r="D3" t="s">
        <v>6</v>
      </c>
      <c r="E3">
        <v>0.44253998994827298</v>
      </c>
      <c r="F3">
        <v>0.55746001005172696</v>
      </c>
      <c r="G3" t="s">
        <v>6</v>
      </c>
      <c r="H3" s="2"/>
      <c r="M3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3" t="str">
        <f>IF(Fact_Betting_Table[[#This Row],[B365 Closing Line]]="", "", Fact_Betting_Table[[#This Row],[Bet Line]]/Fact_Betting_Table[[#This Row],[B365 Closing Line]]-1)</f>
        <v/>
      </c>
      <c r="Q3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>
        <v>1</v>
      </c>
      <c r="S3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25">
      <c r="A4">
        <v>129990803</v>
      </c>
      <c r="B4" s="2">
        <v>46136.416666666664</v>
      </c>
      <c r="C4" t="s">
        <v>9</v>
      </c>
      <c r="D4" t="s">
        <v>8</v>
      </c>
      <c r="E4">
        <v>0.48703813552856401</v>
      </c>
      <c r="F4">
        <v>0.51296186447143599</v>
      </c>
      <c r="G4" t="s">
        <v>8</v>
      </c>
      <c r="H4" s="2"/>
      <c r="M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4" t="str">
        <f>IF(Fact_Betting_Table[[#This Row],[B365 Closing Line]]="", "", Fact_Betting_Table[[#This Row],[Bet Line]]/Fact_Betting_Table[[#This Row],[B365 Closing Line]]-1)</f>
        <v/>
      </c>
      <c r="Q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>
        <v>0</v>
      </c>
      <c r="S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4" s="3">
        <f>IF(Fact_Betting_Table[[#This Row],[Result HomeAway]]="", "", IF(Fact_Betting_Table[[#This Row],[Result HomeAway]]=Fact_Betting_Table[[#This Row],[Prediction HomeAway]],1,0))</f>
        <v>1</v>
      </c>
    </row>
    <row r="5" spans="1:20" x14ac:dyDescent="0.25">
      <c r="A5">
        <v>129990804</v>
      </c>
      <c r="B5" s="2">
        <v>46137.416666666664</v>
      </c>
      <c r="C5" t="s">
        <v>11</v>
      </c>
      <c r="D5" t="s">
        <v>10</v>
      </c>
      <c r="E5">
        <v>0.399268448352814</v>
      </c>
      <c r="F5">
        <v>0.60073155164718595</v>
      </c>
      <c r="G5" t="s">
        <v>10</v>
      </c>
      <c r="H5" s="2"/>
      <c r="M5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5" t="str">
        <f>IF(Fact_Betting_Table[[#This Row],[B365 Closing Line]]="", "", Fact_Betting_Table[[#This Row],[Bet Line]]/Fact_Betting_Table[[#This Row],[B365 Closing Line]]-1)</f>
        <v/>
      </c>
      <c r="Q5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>
        <v>0</v>
      </c>
      <c r="S5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25">
      <c r="A6">
        <v>129990805</v>
      </c>
      <c r="B6" s="2">
        <v>46137.416666666664</v>
      </c>
      <c r="C6" t="s">
        <v>13</v>
      </c>
      <c r="D6" t="s">
        <v>12</v>
      </c>
      <c r="E6">
        <v>0.68943500518798795</v>
      </c>
      <c r="F6">
        <v>0.310564994812012</v>
      </c>
      <c r="G6" t="s">
        <v>13</v>
      </c>
      <c r="H6" s="2"/>
      <c r="M6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6" t="str">
        <f>IF(Fact_Betting_Table[[#This Row],[B365 Closing Line]]="", "", Fact_Betting_Table[[#This Row],[Bet Line]]/Fact_Betting_Table[[#This Row],[B365 Closing Line]]-1)</f>
        <v/>
      </c>
      <c r="Q6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>
        <v>1</v>
      </c>
      <c r="S6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25">
      <c r="A7">
        <v>129990806</v>
      </c>
      <c r="B7" s="2">
        <v>46137.416666666664</v>
      </c>
      <c r="C7" t="s">
        <v>15</v>
      </c>
      <c r="D7" t="s">
        <v>14</v>
      </c>
      <c r="E7">
        <v>0.42627269029617298</v>
      </c>
      <c r="F7">
        <v>0.57372730970382702</v>
      </c>
      <c r="G7" t="s">
        <v>14</v>
      </c>
      <c r="H7" s="2"/>
      <c r="M7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7" t="str">
        <f>IF(Fact_Betting_Table[[#This Row],[B365 Closing Line]]="", "", Fact_Betting_Table[[#This Row],[Bet Line]]/Fact_Betting_Table[[#This Row],[B365 Closing Line]]-1)</f>
        <v/>
      </c>
      <c r="Q7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>
        <v>1</v>
      </c>
      <c r="S7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7" s="3">
        <f>IF(Fact_Betting_Table[[#This Row],[Result HomeAway]]="", "", IF(Fact_Betting_Table[[#This Row],[Result HomeAway]]=Fact_Betting_Table[[#This Row],[Prediction HomeAway]],1,0))</f>
        <v>0</v>
      </c>
    </row>
    <row r="8" spans="1:20" x14ac:dyDescent="0.25">
      <c r="A8">
        <v>129990807</v>
      </c>
      <c r="B8" s="2">
        <v>46138.416666666664</v>
      </c>
      <c r="C8" t="s">
        <v>17</v>
      </c>
      <c r="D8" t="s">
        <v>16</v>
      </c>
      <c r="E8">
        <v>0.41327428817749001</v>
      </c>
      <c r="F8">
        <v>0.58672571182250999</v>
      </c>
      <c r="G8" t="s">
        <v>16</v>
      </c>
      <c r="H8" s="2"/>
      <c r="M8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8" t="str">
        <f>IF(Fact_Betting_Table[[#This Row],[B365 Closing Line]]="", "", Fact_Betting_Table[[#This Row],[Bet Line]]/Fact_Betting_Table[[#This Row],[B365 Closing Line]]-1)</f>
        <v/>
      </c>
      <c r="Q8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>
        <v>1</v>
      </c>
      <c r="S8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8" s="3">
        <f>IF(Fact_Betting_Table[[#This Row],[Result HomeAway]]="", "", IF(Fact_Betting_Table[[#This Row],[Result HomeAway]]=Fact_Betting_Table[[#This Row],[Prediction HomeAway]],1,0))</f>
        <v>0</v>
      </c>
    </row>
    <row r="9" spans="1:20" x14ac:dyDescent="0.25">
      <c r="A9">
        <v>129990808</v>
      </c>
      <c r="B9" s="2">
        <v>46138.416666666664</v>
      </c>
      <c r="C9" t="s">
        <v>19</v>
      </c>
      <c r="D9" t="s">
        <v>18</v>
      </c>
      <c r="E9">
        <v>0.51558268070220903</v>
      </c>
      <c r="F9">
        <v>0.48441731929779103</v>
      </c>
      <c r="G9" t="s">
        <v>19</v>
      </c>
      <c r="H9" s="2"/>
      <c r="M9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9" t="str">
        <f>IF(Fact_Betting_Table[[#This Row],[B365 Closing Line]]="", "", Fact_Betting_Table[[#This Row],[Bet Line]]/Fact_Betting_Table[[#This Row],[B365 Closing Line]]-1)</f>
        <v/>
      </c>
      <c r="Q9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>
        <v>0</v>
      </c>
      <c r="S9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9" s="3">
        <f>IF(Fact_Betting_Table[[#This Row],[Result HomeAway]]="", "", IF(Fact_Betting_Table[[#This Row],[Result HomeAway]]=Fact_Betting_Table[[#This Row],[Prediction HomeAway]],1,0))</f>
        <v>0</v>
      </c>
    </row>
    <row r="10" spans="1:20" x14ac:dyDescent="0.25">
      <c r="A10">
        <v>129990901</v>
      </c>
      <c r="B10" s="2">
        <v>46143.416666666664</v>
      </c>
      <c r="C10" t="s">
        <v>8</v>
      </c>
      <c r="D10" t="s">
        <v>7</v>
      </c>
      <c r="E10">
        <v>0.43192321062088002</v>
      </c>
      <c r="F10">
        <v>0.56807678937911998</v>
      </c>
      <c r="G10" t="s">
        <v>7</v>
      </c>
      <c r="H10" s="2"/>
      <c r="M10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0" t="str">
        <f>IF(Fact_Betting_Table[[#This Row],[B365 Closing Line]]="", "", Fact_Betting_Table[[#This Row],[Bet Line]]/Fact_Betting_Table[[#This Row],[B365 Closing Line]]-1)</f>
        <v/>
      </c>
      <c r="Q10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>
        <v>0</v>
      </c>
      <c r="S10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25">
      <c r="A11">
        <v>129990902</v>
      </c>
      <c r="B11" s="2">
        <v>46143.416666666664</v>
      </c>
      <c r="C11" t="s">
        <v>12</v>
      </c>
      <c r="D11" t="s">
        <v>15</v>
      </c>
      <c r="E11">
        <v>0.54520007967948902</v>
      </c>
      <c r="F11">
        <v>0.45479992032051098</v>
      </c>
      <c r="G11" t="s">
        <v>12</v>
      </c>
      <c r="H11" s="2"/>
      <c r="M11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1" t="str">
        <f>IF(Fact_Betting_Table[[#This Row],[B365 Closing Line]]="", "", Fact_Betting_Table[[#This Row],[Bet Line]]/Fact_Betting_Table[[#This Row],[B365 Closing Line]]-1)</f>
        <v/>
      </c>
      <c r="Q11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>
        <v>1</v>
      </c>
      <c r="S11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25">
      <c r="A12">
        <v>129990903</v>
      </c>
      <c r="B12" s="2">
        <v>46144.416666666664</v>
      </c>
      <c r="C12" t="s">
        <v>22</v>
      </c>
      <c r="D12" t="s">
        <v>4</v>
      </c>
      <c r="E12">
        <v>0.46796506643295299</v>
      </c>
      <c r="F12">
        <v>0.53203493356704701</v>
      </c>
      <c r="G12" t="s">
        <v>4</v>
      </c>
      <c r="H12" s="2"/>
      <c r="M12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2" t="str">
        <f>IF(Fact_Betting_Table[[#This Row],[B365 Closing Line]]="", "", Fact_Betting_Table[[#This Row],[Bet Line]]/Fact_Betting_Table[[#This Row],[B365 Closing Line]]-1)</f>
        <v/>
      </c>
      <c r="Q12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>
        <v>1</v>
      </c>
      <c r="S12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12" s="3">
        <f>IF(Fact_Betting_Table[[#This Row],[Result HomeAway]]="", "", IF(Fact_Betting_Table[[#This Row],[Result HomeAway]]=Fact_Betting_Table[[#This Row],[Prediction HomeAway]],1,0))</f>
        <v>0</v>
      </c>
    </row>
    <row r="13" spans="1:20" x14ac:dyDescent="0.25">
      <c r="A13">
        <v>129990904</v>
      </c>
      <c r="B13" s="2">
        <v>46144.416666666664</v>
      </c>
      <c r="C13" t="s">
        <v>18</v>
      </c>
      <c r="D13" t="s">
        <v>13</v>
      </c>
      <c r="E13">
        <v>0.51314347982406605</v>
      </c>
      <c r="F13">
        <v>0.486856520175934</v>
      </c>
      <c r="G13" t="s">
        <v>18</v>
      </c>
      <c r="H13" s="2"/>
      <c r="M13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3" t="str">
        <f>IF(Fact_Betting_Table[[#This Row],[B365 Closing Line]]="", "", Fact_Betting_Table[[#This Row],[Bet Line]]/Fact_Betting_Table[[#This Row],[B365 Closing Line]]-1)</f>
        <v/>
      </c>
      <c r="Q13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>
        <v>1</v>
      </c>
      <c r="S13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25">
      <c r="A14">
        <v>129990905</v>
      </c>
      <c r="B14" s="2">
        <v>46144.416666666664</v>
      </c>
      <c r="C14" t="s">
        <v>10</v>
      </c>
      <c r="D14" t="s">
        <v>9</v>
      </c>
      <c r="E14">
        <v>0.40842109918594399</v>
      </c>
      <c r="F14">
        <v>0.59157890081405595</v>
      </c>
      <c r="G14" t="s">
        <v>9</v>
      </c>
      <c r="H14" s="2"/>
      <c r="M1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4" t="str">
        <f>IF(Fact_Betting_Table[[#This Row],[B365 Closing Line]]="", "", Fact_Betting_Table[[#This Row],[Bet Line]]/Fact_Betting_Table[[#This Row],[B365 Closing Line]]-1)</f>
        <v/>
      </c>
      <c r="Q1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>
        <v>1</v>
      </c>
      <c r="S1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25">
      <c r="A15">
        <v>129990906</v>
      </c>
      <c r="B15" s="2">
        <v>46145.416666666664</v>
      </c>
      <c r="C15" t="s">
        <v>17</v>
      </c>
      <c r="D15" t="s">
        <v>14</v>
      </c>
      <c r="E15">
        <v>0.49258524179458602</v>
      </c>
      <c r="F15">
        <v>0.50741475820541404</v>
      </c>
      <c r="G15" t="s">
        <v>14</v>
      </c>
      <c r="H15" s="2"/>
      <c r="M15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5" t="str">
        <f>IF(Fact_Betting_Table[[#This Row],[B365 Closing Line]]="", "", Fact_Betting_Table[[#This Row],[Bet Line]]/Fact_Betting_Table[[#This Row],[B365 Closing Line]]-1)</f>
        <v/>
      </c>
      <c r="Q15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>
        <v>1</v>
      </c>
      <c r="S15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25">
      <c r="A16">
        <v>129990907</v>
      </c>
      <c r="B16" s="2">
        <v>46145.416666666664</v>
      </c>
      <c r="C16" t="s">
        <v>6</v>
      </c>
      <c r="D16" t="s">
        <v>5</v>
      </c>
      <c r="E16">
        <v>0.52708521485328697</v>
      </c>
      <c r="F16">
        <v>0.47291478514671298</v>
      </c>
      <c r="G16" t="s">
        <v>6</v>
      </c>
      <c r="H16" s="2"/>
      <c r="M16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6" t="str">
        <f>IF(Fact_Betting_Table[[#This Row],[B365 Closing Line]]="", "", Fact_Betting_Table[[#This Row],[Bet Line]]/Fact_Betting_Table[[#This Row],[B365 Closing Line]]-1)</f>
        <v/>
      </c>
      <c r="Q16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>
        <v>0</v>
      </c>
      <c r="S16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16" s="3">
        <f>IF(Fact_Betting_Table[[#This Row],[Result HomeAway]]="", "", IF(Fact_Betting_Table[[#This Row],[Result HomeAway]]=Fact_Betting_Table[[#This Row],[Prediction HomeAway]],1,0))</f>
        <v>0</v>
      </c>
    </row>
    <row r="17" spans="1:20" x14ac:dyDescent="0.25">
      <c r="A17">
        <v>129990908</v>
      </c>
      <c r="B17" s="2">
        <v>46145.416666666664</v>
      </c>
      <c r="C17" t="s">
        <v>16</v>
      </c>
      <c r="D17" t="s">
        <v>19</v>
      </c>
      <c r="E17">
        <v>0.48826622962951699</v>
      </c>
      <c r="F17">
        <v>0.51173377037048295</v>
      </c>
      <c r="G17" t="s">
        <v>19</v>
      </c>
      <c r="H17" s="2"/>
      <c r="M17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7" t="str">
        <f>IF(Fact_Betting_Table[[#This Row],[B365 Closing Line]]="", "", Fact_Betting_Table[[#This Row],[Bet Line]]/Fact_Betting_Table[[#This Row],[B365 Closing Line]]-1)</f>
        <v/>
      </c>
      <c r="Q17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>
        <v>1</v>
      </c>
      <c r="S17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25">
      <c r="A18">
        <v>129991001</v>
      </c>
      <c r="B18" s="2">
        <v>46149.416666666664</v>
      </c>
      <c r="C18" t="s">
        <v>12</v>
      </c>
      <c r="D18" t="s">
        <v>8</v>
      </c>
      <c r="E18">
        <v>0.51074704527854897</v>
      </c>
      <c r="F18">
        <v>0.48925295472145103</v>
      </c>
      <c r="G18" t="s">
        <v>12</v>
      </c>
      <c r="H18" s="2"/>
      <c r="M18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8" t="str">
        <f>IF(Fact_Betting_Table[[#This Row],[B365 Closing Line]]="", "", Fact_Betting_Table[[#This Row],[Bet Line]]/Fact_Betting_Table[[#This Row],[B365 Closing Line]]-1)</f>
        <v/>
      </c>
      <c r="Q18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>
        <v>0</v>
      </c>
      <c r="S18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18" s="3">
        <f>IF(Fact_Betting_Table[[#This Row],[Result HomeAway]]="", "", IF(Fact_Betting_Table[[#This Row],[Result HomeAway]]=Fact_Betting_Table[[#This Row],[Prediction HomeAway]],1,0))</f>
        <v>0</v>
      </c>
    </row>
    <row r="19" spans="1:20" x14ac:dyDescent="0.25">
      <c r="A19">
        <v>129991002</v>
      </c>
      <c r="B19" s="2">
        <v>46150.416666666664</v>
      </c>
      <c r="C19" t="s">
        <v>10</v>
      </c>
      <c r="D19" t="s">
        <v>22</v>
      </c>
      <c r="E19">
        <v>0.62290695309638999</v>
      </c>
      <c r="F19">
        <v>0.37709304690361001</v>
      </c>
      <c r="G19" t="s">
        <v>10</v>
      </c>
      <c r="H19" s="2"/>
      <c r="M19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9" t="str">
        <f>IF(Fact_Betting_Table[[#This Row],[B365 Closing Line]]="", "", Fact_Betting_Table[[#This Row],[Bet Line]]/Fact_Betting_Table[[#This Row],[B365 Closing Line]]-1)</f>
        <v/>
      </c>
      <c r="Q19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>
        <v>1</v>
      </c>
      <c r="S19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25">
      <c r="A20">
        <v>129991003</v>
      </c>
      <c r="B20" s="2">
        <v>46150.416666666664</v>
      </c>
      <c r="C20" t="s">
        <v>7</v>
      </c>
      <c r="D20" t="s">
        <v>18</v>
      </c>
      <c r="E20">
        <v>0.47514605522155801</v>
      </c>
      <c r="F20">
        <v>0.52485394477844205</v>
      </c>
      <c r="G20" t="s">
        <v>18</v>
      </c>
      <c r="H20" s="2"/>
      <c r="M20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0" t="str">
        <f>IF(Fact_Betting_Table[[#This Row],[B365 Closing Line]]="", "", Fact_Betting_Table[[#This Row],[Bet Line]]/Fact_Betting_Table[[#This Row],[B365 Closing Line]]-1)</f>
        <v/>
      </c>
      <c r="Q20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>
        <v>0</v>
      </c>
      <c r="S20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25">
      <c r="A21">
        <v>129991004</v>
      </c>
      <c r="B21" s="2">
        <v>46151.416666666664</v>
      </c>
      <c r="C21" t="s">
        <v>11</v>
      </c>
      <c r="D21" t="s">
        <v>17</v>
      </c>
      <c r="E21">
        <v>0.46244102716445901</v>
      </c>
      <c r="F21">
        <v>0.53755897283554099</v>
      </c>
      <c r="G21" t="s">
        <v>17</v>
      </c>
      <c r="H21" s="2"/>
      <c r="M21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1" t="str">
        <f>IF(Fact_Betting_Table[[#This Row],[B365 Closing Line]]="", "", Fact_Betting_Table[[#This Row],[Bet Line]]/Fact_Betting_Table[[#This Row],[B365 Closing Line]]-1)</f>
        <v/>
      </c>
      <c r="Q21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>
        <v>0</v>
      </c>
      <c r="S21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25">
      <c r="A22">
        <v>129991005</v>
      </c>
      <c r="B22" s="2">
        <v>46151.416666666664</v>
      </c>
      <c r="C22" t="s">
        <v>14</v>
      </c>
      <c r="D22" t="s">
        <v>6</v>
      </c>
      <c r="E22">
        <v>0.53827929496765103</v>
      </c>
      <c r="F22">
        <v>0.46172070503234902</v>
      </c>
      <c r="G22" t="s">
        <v>14</v>
      </c>
      <c r="H22" s="2"/>
      <c r="M22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2" t="str">
        <f>IF(Fact_Betting_Table[[#This Row],[B365 Closing Line]]="", "", Fact_Betting_Table[[#This Row],[Bet Line]]/Fact_Betting_Table[[#This Row],[B365 Closing Line]]-1)</f>
        <v/>
      </c>
      <c r="Q22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>
        <v>1</v>
      </c>
      <c r="S22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25">
      <c r="A23">
        <v>129991006</v>
      </c>
      <c r="B23" s="2">
        <v>46151.416666666664</v>
      </c>
      <c r="C23" t="s">
        <v>19</v>
      </c>
      <c r="D23" t="s">
        <v>9</v>
      </c>
      <c r="E23">
        <v>0.41448318958282498</v>
      </c>
      <c r="F23">
        <v>0.58551681041717496</v>
      </c>
      <c r="G23" t="s">
        <v>9</v>
      </c>
      <c r="H23" s="2"/>
      <c r="M23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3" t="str">
        <f>IF(Fact_Betting_Table[[#This Row],[B365 Closing Line]]="", "", Fact_Betting_Table[[#This Row],[Bet Line]]/Fact_Betting_Table[[#This Row],[B365 Closing Line]]-1)</f>
        <v/>
      </c>
      <c r="Q23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>
        <v>1</v>
      </c>
      <c r="S23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25">
      <c r="A24">
        <v>129991007</v>
      </c>
      <c r="B24" s="2">
        <v>46152.416666666664</v>
      </c>
      <c r="C24" t="s">
        <v>15</v>
      </c>
      <c r="D24" t="s">
        <v>5</v>
      </c>
      <c r="E24">
        <v>0.52475470304489102</v>
      </c>
      <c r="F24">
        <v>0.47524529695510898</v>
      </c>
      <c r="G24" t="s">
        <v>15</v>
      </c>
      <c r="H24" s="2"/>
      <c r="M2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4" t="str">
        <f>IF(Fact_Betting_Table[[#This Row],[B365 Closing Line]]="", "", Fact_Betting_Table[[#This Row],[Bet Line]]/Fact_Betting_Table[[#This Row],[B365 Closing Line]]-1)</f>
        <v/>
      </c>
      <c r="Q2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>
        <v>0</v>
      </c>
      <c r="S2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4" s="3">
        <f>IF(Fact_Betting_Table[[#This Row],[Result HomeAway]]="", "", IF(Fact_Betting_Table[[#This Row],[Result HomeAway]]=Fact_Betting_Table[[#This Row],[Prediction HomeAway]],1,0))</f>
        <v>0</v>
      </c>
    </row>
    <row r="25" spans="1:20" x14ac:dyDescent="0.25">
      <c r="A25">
        <v>129991008</v>
      </c>
      <c r="B25" s="2">
        <v>46152.416666666664</v>
      </c>
      <c r="C25" t="s">
        <v>4</v>
      </c>
      <c r="D25" t="s">
        <v>16</v>
      </c>
      <c r="E25">
        <v>0.49045950174331698</v>
      </c>
      <c r="F25">
        <v>0.50954049825668302</v>
      </c>
      <c r="G25" t="s">
        <v>16</v>
      </c>
      <c r="H25" s="2"/>
      <c r="M25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5" t="str">
        <f>IF(Fact_Betting_Table[[#This Row],[B365 Closing Line]]="", "", Fact_Betting_Table[[#This Row],[Bet Line]]/Fact_Betting_Table[[#This Row],[B365 Closing Line]]-1)</f>
        <v/>
      </c>
      <c r="Q25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>
        <v>0</v>
      </c>
      <c r="S25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25">
      <c r="A26">
        <v>129991101</v>
      </c>
      <c r="B26" s="2">
        <v>46157.416666666664</v>
      </c>
      <c r="C26" t="s">
        <v>6</v>
      </c>
      <c r="D26" t="s">
        <v>8</v>
      </c>
      <c r="E26">
        <v>0.584493428468704</v>
      </c>
      <c r="F26">
        <v>0.415506571531296</v>
      </c>
      <c r="G26" t="s">
        <v>6</v>
      </c>
      <c r="H26" s="2">
        <v>46157.416666666664</v>
      </c>
      <c r="I26">
        <v>1.48</v>
      </c>
      <c r="J26">
        <v>2.67</v>
      </c>
      <c r="K26" t="s">
        <v>61</v>
      </c>
      <c r="L26" t="s">
        <v>8</v>
      </c>
      <c r="M26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>
        <v>2.6</v>
      </c>
      <c r="P26">
        <f>IF(Fact_Betting_Table[[#This Row],[B365 Closing Line]]="", "", Fact_Betting_Table[[#This Row],[Bet Line]]/Fact_Betting_Table[[#This Row],[B365 Closing Line]]-1)</f>
        <v>2.6923076923076827E-2</v>
      </c>
      <c r="Q26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>
        <v>1</v>
      </c>
      <c r="S26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25">
      <c r="A27">
        <v>129991102</v>
      </c>
      <c r="B27" s="2">
        <v>46157.416666666664</v>
      </c>
      <c r="C27" t="s">
        <v>14</v>
      </c>
      <c r="D27" t="s">
        <v>12</v>
      </c>
      <c r="E27">
        <v>0.57210445404052701</v>
      </c>
      <c r="F27">
        <v>0.42789554595947299</v>
      </c>
      <c r="G27" t="s">
        <v>14</v>
      </c>
      <c r="H27" s="2">
        <v>46157.416666666664</v>
      </c>
      <c r="I27">
        <v>2.0499999999999998</v>
      </c>
      <c r="J27">
        <v>1.77</v>
      </c>
      <c r="K27" t="s">
        <v>62</v>
      </c>
      <c r="L27" t="s">
        <v>14</v>
      </c>
      <c r="M27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>
        <v>2.15</v>
      </c>
      <c r="P27">
        <f>IF(Fact_Betting_Table[[#This Row],[B365 Closing Line]]="", "", Fact_Betting_Table[[#This Row],[Bet Line]]/Fact_Betting_Table[[#This Row],[B365 Closing Line]]-1)</f>
        <v>-4.6511627906976827E-2</v>
      </c>
      <c r="Q27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>
        <v>0</v>
      </c>
      <c r="S27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25">
      <c r="A28">
        <v>129991103</v>
      </c>
      <c r="B28" s="2">
        <v>46158.416666666664</v>
      </c>
      <c r="C28" t="s">
        <v>5</v>
      </c>
      <c r="D28" t="s">
        <v>19</v>
      </c>
      <c r="E28">
        <v>0.47613638639450101</v>
      </c>
      <c r="F28">
        <v>0.52386361360549905</v>
      </c>
      <c r="G28" t="s">
        <v>19</v>
      </c>
      <c r="H28" s="2">
        <v>46158.416666666664</v>
      </c>
      <c r="I28">
        <v>3.7</v>
      </c>
      <c r="J28">
        <v>1.28</v>
      </c>
      <c r="K28" t="s">
        <v>62</v>
      </c>
      <c r="L28" t="s">
        <v>5</v>
      </c>
      <c r="M28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>
        <v>3.6</v>
      </c>
      <c r="P28">
        <f>IF(Fact_Betting_Table[[#This Row],[B365 Closing Line]]="", "", Fact_Betting_Table[[#This Row],[Bet Line]]/Fact_Betting_Table[[#This Row],[B365 Closing Line]]-1)</f>
        <v>2.7777777777777901E-2</v>
      </c>
      <c r="Q28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>
        <v>0</v>
      </c>
      <c r="S28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25">
      <c r="A29">
        <v>129991104</v>
      </c>
      <c r="B29" s="2">
        <v>46158.416666666664</v>
      </c>
      <c r="C29" t="s">
        <v>10</v>
      </c>
      <c r="D29" t="s">
        <v>7</v>
      </c>
      <c r="E29">
        <v>0.52142664790153503</v>
      </c>
      <c r="F29">
        <v>0.47857335209846502</v>
      </c>
      <c r="G29" t="s">
        <v>10</v>
      </c>
      <c r="H29" s="2">
        <v>46158.416666666664</v>
      </c>
      <c r="I29">
        <v>1.19</v>
      </c>
      <c r="J29">
        <v>4.75</v>
      </c>
      <c r="K29" t="s">
        <v>63</v>
      </c>
      <c r="L29" t="s">
        <v>7</v>
      </c>
      <c r="M29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>
        <v>4.75</v>
      </c>
      <c r="P29">
        <f>IF(Fact_Betting_Table[[#This Row],[B365 Closing Line]]="", "", Fact_Betting_Table[[#This Row],[Bet Line]]/Fact_Betting_Table[[#This Row],[B365 Closing Line]]-1)</f>
        <v>0</v>
      </c>
      <c r="Q29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>
        <v>0</v>
      </c>
      <c r="S29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25">
      <c r="A30">
        <v>129991105</v>
      </c>
      <c r="B30" s="2">
        <v>46158.416666666664</v>
      </c>
      <c r="C30" t="s">
        <v>18</v>
      </c>
      <c r="D30" t="s">
        <v>15</v>
      </c>
      <c r="E30">
        <v>0.511417716741562</v>
      </c>
      <c r="F30">
        <v>0.488582283258438</v>
      </c>
      <c r="G30" t="s">
        <v>18</v>
      </c>
      <c r="H30" s="2">
        <v>46158.416666666664</v>
      </c>
      <c r="I30">
        <v>3.14</v>
      </c>
      <c r="J30">
        <v>1.37</v>
      </c>
      <c r="K30" t="s">
        <v>61</v>
      </c>
      <c r="L30" t="s">
        <v>18</v>
      </c>
      <c r="M30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>
        <v>3.2</v>
      </c>
      <c r="P30">
        <f>IF(Fact_Betting_Table[[#This Row],[B365 Closing Line]]="", "", Fact_Betting_Table[[#This Row],[Bet Line]]/Fact_Betting_Table[[#This Row],[B365 Closing Line]]-1)</f>
        <v>-1.8750000000000044E-2</v>
      </c>
      <c r="Q30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>
        <v>0</v>
      </c>
      <c r="S30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25">
      <c r="A31">
        <v>129991106</v>
      </c>
      <c r="B31" s="2">
        <v>46159.416666666664</v>
      </c>
      <c r="C31" t="s">
        <v>22</v>
      </c>
      <c r="D31" t="s">
        <v>17</v>
      </c>
      <c r="E31">
        <v>0.441200911998749</v>
      </c>
      <c r="F31">
        <v>0.558799088001251</v>
      </c>
      <c r="G31" t="s">
        <v>17</v>
      </c>
      <c r="H31" s="2">
        <v>46159.416666666664</v>
      </c>
      <c r="I31">
        <v>3.65</v>
      </c>
      <c r="J31">
        <v>1.04</v>
      </c>
      <c r="K31" t="s">
        <v>64</v>
      </c>
      <c r="L31" t="s">
        <v>22</v>
      </c>
      <c r="M31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>
        <v>2.9</v>
      </c>
      <c r="P31">
        <f>IF(Fact_Betting_Table[[#This Row],[B365 Closing Line]]="", "", Fact_Betting_Table[[#This Row],[Bet Line]]/Fact_Betting_Table[[#This Row],[B365 Closing Line]]-1)</f>
        <v>0.25862068965517238</v>
      </c>
      <c r="Q31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>
        <v>0</v>
      </c>
      <c r="S31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25">
      <c r="A32">
        <v>129991107</v>
      </c>
      <c r="B32" s="2">
        <v>46159.416666666664</v>
      </c>
      <c r="C32" t="s">
        <v>13</v>
      </c>
      <c r="D32" t="s">
        <v>9</v>
      </c>
      <c r="E32">
        <v>0.36237198114395103</v>
      </c>
      <c r="F32">
        <v>0.63762801885604903</v>
      </c>
      <c r="G32" t="s">
        <v>9</v>
      </c>
      <c r="H32" s="2">
        <v>46159.416666666664</v>
      </c>
      <c r="I32">
        <v>1.68</v>
      </c>
      <c r="J32">
        <v>2.3199999999999998</v>
      </c>
      <c r="K32" t="s">
        <v>64</v>
      </c>
      <c r="L32" t="s">
        <v>9</v>
      </c>
      <c r="M32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>
        <v>2.2000000000000002</v>
      </c>
      <c r="P32">
        <f>IF(Fact_Betting_Table[[#This Row],[B365 Closing Line]]="", "", Fact_Betting_Table[[#This Row],[Bet Line]]/Fact_Betting_Table[[#This Row],[B365 Closing Line]]-1)</f>
        <v>5.4545454545454453E-2</v>
      </c>
      <c r="Q32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>
        <v>1</v>
      </c>
      <c r="S32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25">
      <c r="A33">
        <v>129991108</v>
      </c>
      <c r="B33" s="2">
        <v>46159.416666666664</v>
      </c>
      <c r="C33" t="s">
        <v>16</v>
      </c>
      <c r="D33" t="s">
        <v>11</v>
      </c>
      <c r="E33">
        <v>0.540525883436203</v>
      </c>
      <c r="F33">
        <v>0.459474116563797</v>
      </c>
      <c r="G33" t="s">
        <v>16</v>
      </c>
      <c r="H33" s="2">
        <v>46159.416666666664</v>
      </c>
      <c r="I33">
        <v>1.06</v>
      </c>
      <c r="J33">
        <v>14.5</v>
      </c>
      <c r="K33" t="s">
        <v>64</v>
      </c>
      <c r="L33" t="s">
        <v>11</v>
      </c>
      <c r="M33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>
        <v>15</v>
      </c>
      <c r="P33">
        <f>IF(Fact_Betting_Table[[#This Row],[B365 Closing Line]]="", "", Fact_Betting_Table[[#This Row],[Bet Line]]/Fact_Betting_Table[[#This Row],[B365 Closing Line]]-1)</f>
        <v>-3.3333333333333326E-2</v>
      </c>
      <c r="Q33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>
        <v>1</v>
      </c>
      <c r="S33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25">
      <c r="A34">
        <v>129991201</v>
      </c>
      <c r="B34" s="2">
        <v>46163.416666666664</v>
      </c>
      <c r="C34" t="s">
        <v>4</v>
      </c>
      <c r="D34" t="s">
        <v>12</v>
      </c>
      <c r="E34">
        <v>0.44810938835143999</v>
      </c>
      <c r="F34">
        <v>0.55189061164856001</v>
      </c>
      <c r="G34" t="s">
        <v>12</v>
      </c>
      <c r="H34" s="2">
        <v>46163.416666666664</v>
      </c>
      <c r="I34">
        <v>1.9</v>
      </c>
      <c r="J34">
        <v>1.9</v>
      </c>
      <c r="K34" t="s">
        <v>62</v>
      </c>
      <c r="L34" t="s">
        <v>12</v>
      </c>
      <c r="M3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>
        <v>2.2000000000000002</v>
      </c>
      <c r="P34">
        <f>IF(Fact_Betting_Table[[#This Row],[B365 Closing Line]]="", "", Fact_Betting_Table[[#This Row],[Bet Line]]/Fact_Betting_Table[[#This Row],[B365 Closing Line]]-1)</f>
        <v>-0.13636363636363646</v>
      </c>
      <c r="Q3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>
        <v>0</v>
      </c>
      <c r="S3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25">
      <c r="A35">
        <v>129991202</v>
      </c>
      <c r="B35" s="2">
        <v>46164.416666666664</v>
      </c>
      <c r="C35" t="s">
        <v>8</v>
      </c>
      <c r="D35" t="s">
        <v>15</v>
      </c>
      <c r="E35">
        <v>0.51166483759880099</v>
      </c>
      <c r="F35">
        <v>0.48833516240119901</v>
      </c>
      <c r="G35" t="s">
        <v>8</v>
      </c>
      <c r="H35" s="2">
        <v>46164.416666666664</v>
      </c>
      <c r="I35">
        <v>1.67</v>
      </c>
      <c r="J35">
        <v>2.2000000000000002</v>
      </c>
      <c r="K35" t="s">
        <v>62</v>
      </c>
      <c r="L35" t="s">
        <v>15</v>
      </c>
      <c r="M35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>
        <v>2.0499999999999998</v>
      </c>
      <c r="P35">
        <f>IF(Fact_Betting_Table[[#This Row],[B365 Closing Line]]="", "", Fact_Betting_Table[[#This Row],[Bet Line]]/Fact_Betting_Table[[#This Row],[B365 Closing Line]]-1)</f>
        <v>7.317073170731736E-2</v>
      </c>
      <c r="Q35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>
        <v>1</v>
      </c>
      <c r="S35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25">
      <c r="A36">
        <v>129991203</v>
      </c>
      <c r="B36" s="2">
        <v>46165.416666666664</v>
      </c>
      <c r="C36" t="s">
        <v>11</v>
      </c>
      <c r="D36" t="s">
        <v>13</v>
      </c>
      <c r="E36">
        <v>0.47292482852935802</v>
      </c>
      <c r="F36">
        <v>0.52707517147064198</v>
      </c>
      <c r="G36" t="s">
        <v>13</v>
      </c>
      <c r="H36" s="2">
        <v>46165.416666666664</v>
      </c>
      <c r="I36">
        <v>5</v>
      </c>
      <c r="J36">
        <v>1.18</v>
      </c>
      <c r="K36" t="s">
        <v>65</v>
      </c>
      <c r="L36" t="s">
        <v>11</v>
      </c>
      <c r="M36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>
        <v>4</v>
      </c>
      <c r="P36">
        <f>IF(Fact_Betting_Table[[#This Row],[B365 Closing Line]]="", "", Fact_Betting_Table[[#This Row],[Bet Line]]/Fact_Betting_Table[[#This Row],[B365 Closing Line]]-1)</f>
        <v>0.25</v>
      </c>
      <c r="Q36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>
        <v>0</v>
      </c>
      <c r="S36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25">
      <c r="A37">
        <v>129991204</v>
      </c>
      <c r="B37" s="2">
        <v>46165.416666666664</v>
      </c>
      <c r="C37" t="s">
        <v>19</v>
      </c>
      <c r="D37" t="s">
        <v>22</v>
      </c>
      <c r="E37">
        <v>0.56811690330505404</v>
      </c>
      <c r="F37">
        <v>0.43188309669494601</v>
      </c>
      <c r="G37" t="s">
        <v>19</v>
      </c>
      <c r="H37" s="2">
        <v>46165.416666666664</v>
      </c>
      <c r="I37">
        <v>1.24</v>
      </c>
      <c r="J37">
        <v>4.0999999999999996</v>
      </c>
      <c r="K37" t="s">
        <v>61</v>
      </c>
      <c r="L37" t="s">
        <v>22</v>
      </c>
      <c r="M37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>
        <v>4</v>
      </c>
      <c r="P37">
        <f>IF(Fact_Betting_Table[[#This Row],[B365 Closing Line]]="", "", Fact_Betting_Table[[#This Row],[Bet Line]]/Fact_Betting_Table[[#This Row],[B365 Closing Line]]-1)</f>
        <v>2.4999999999999911E-2</v>
      </c>
      <c r="Q37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>
        <v>1</v>
      </c>
      <c r="S37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25">
      <c r="A38">
        <v>129991205</v>
      </c>
      <c r="B38" s="2">
        <v>46166.416666666664</v>
      </c>
      <c r="C38" t="s">
        <v>7</v>
      </c>
      <c r="D38" t="s">
        <v>14</v>
      </c>
      <c r="E38">
        <v>0.48554360866546598</v>
      </c>
      <c r="F38">
        <v>0.51445639133453402</v>
      </c>
      <c r="G38" t="s">
        <v>14</v>
      </c>
      <c r="H38" s="2">
        <v>46166.416666666664</v>
      </c>
      <c r="I38">
        <v>1.6</v>
      </c>
      <c r="J38">
        <v>2.35</v>
      </c>
      <c r="K38" t="s">
        <v>66</v>
      </c>
      <c r="L38" t="s">
        <v>14</v>
      </c>
      <c r="M38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>
        <v>2.35</v>
      </c>
      <c r="P38">
        <f>IF(Fact_Betting_Table[[#This Row],[B365 Closing Line]]="", "", Fact_Betting_Table[[#This Row],[Bet Line]]/Fact_Betting_Table[[#This Row],[B365 Closing Line]]-1)</f>
        <v>0</v>
      </c>
      <c r="Q38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>
        <v>1</v>
      </c>
      <c r="S38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25">
      <c r="A39">
        <v>129991301</v>
      </c>
      <c r="B39" s="2">
        <v>46172.25</v>
      </c>
      <c r="C39" t="s">
        <v>6</v>
      </c>
      <c r="D39" t="s">
        <v>19</v>
      </c>
      <c r="E39">
        <v>0.6232207715511322</v>
      </c>
      <c r="F39">
        <v>0.3767792284488678</v>
      </c>
      <c r="G39" t="s">
        <v>6</v>
      </c>
      <c r="H39" s="2">
        <v>46171.833333333336</v>
      </c>
      <c r="I39">
        <v>1.85</v>
      </c>
      <c r="J39">
        <v>1.95</v>
      </c>
      <c r="K39" t="s">
        <v>66</v>
      </c>
      <c r="L39" t="s">
        <v>6</v>
      </c>
      <c r="M39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P39" t="str">
        <f>IF(Fact_Betting_Table[[#This Row],[B365 Closing Line]]="", "", Fact_Betting_Table[[#This Row],[Bet Line]]/Fact_Betting_Table[[#This Row],[B365 Closing Line]]-1)</f>
        <v/>
      </c>
      <c r="Q39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S39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39" s="3" t="str">
        <f>IF(Fact_Betting_Table[[#This Row],[Result HomeAway]]="", "", IF(Fact_Betting_Table[[#This Row],[Result HomeAway]]=Fact_Betting_Table[[#This Row],[Prediction HomeAway]],1,0))</f>
        <v/>
      </c>
    </row>
    <row r="40" spans="1:20" x14ac:dyDescent="0.25">
      <c r="A40">
        <v>129991302</v>
      </c>
      <c r="B40" s="2">
        <v>46173.041666666664</v>
      </c>
      <c r="C40" t="s">
        <v>17</v>
      </c>
      <c r="D40" t="s">
        <v>18</v>
      </c>
      <c r="E40">
        <v>0.59300559759140015</v>
      </c>
      <c r="F40">
        <v>0.40699440240859985</v>
      </c>
      <c r="G40" t="s">
        <v>17</v>
      </c>
      <c r="H40" s="2">
        <v>46172.625</v>
      </c>
      <c r="I40">
        <v>1.2</v>
      </c>
      <c r="J40">
        <v>4.5999999999999996</v>
      </c>
      <c r="K40" t="s">
        <v>61</v>
      </c>
      <c r="L40" t="s">
        <v>18</v>
      </c>
      <c r="M40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P40" t="str">
        <f>IF(Fact_Betting_Table[[#This Row],[B365 Closing Line]]="", "", Fact_Betting_Table[[#This Row],[Bet Line]]/Fact_Betting_Table[[#This Row],[B365 Closing Line]]-1)</f>
        <v/>
      </c>
      <c r="Q40" cm="1">
        <f t="array" ref="Q40">_xlfn.IFS(Fact_Betting_Table[[#This Row],[prediction]]=Fact_Betting_Table[[#This Row],[home_team]], 1, Fact_Betting_Table[[#This Row],[prediction]]=Fact_Betting_Table[[#This Row],[away_team]], 0)</f>
        <v>1</v>
      </c>
      <c r="S40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0" s="3" t="str">
        <f>IF(Fact_Betting_Table[[#This Row],[Result HomeAway]]="", "", IF(Fact_Betting_Table[[#This Row],[Result HomeAway]]=Fact_Betting_Table[[#This Row],[Prediction HomeAway]],1,0))</f>
        <v/>
      </c>
    </row>
    <row r="41" spans="1:20" x14ac:dyDescent="0.25">
      <c r="A41">
        <v>129991303</v>
      </c>
      <c r="B41" s="2">
        <v>46173.145833333336</v>
      </c>
      <c r="C41" t="s">
        <v>5</v>
      </c>
      <c r="D41" t="s">
        <v>8</v>
      </c>
      <c r="E41">
        <v>0.62406075000762939</v>
      </c>
      <c r="F41">
        <v>0.37593924999237061</v>
      </c>
      <c r="G41" t="s">
        <v>5</v>
      </c>
      <c r="H41" s="2">
        <v>46172.729166666664</v>
      </c>
      <c r="I41">
        <v>1.62</v>
      </c>
      <c r="J41">
        <v>2.2999999999999998</v>
      </c>
      <c r="K41" t="s">
        <v>62</v>
      </c>
      <c r="L41" t="s">
        <v>5</v>
      </c>
      <c r="M41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P41" t="str">
        <f>IF(Fact_Betting_Table[[#This Row],[B365 Closing Line]]="", "", Fact_Betting_Table[[#This Row],[Bet Line]]/Fact_Betting_Table[[#This Row],[B365 Closing Line]]-1)</f>
        <v/>
      </c>
      <c r="Q41" cm="1">
        <f t="array" ref="Q41">_xlfn.IFS(Fact_Betting_Table[[#This Row],[prediction]]=Fact_Betting_Table[[#This Row],[home_team]], 1, Fact_Betting_Table[[#This Row],[prediction]]=Fact_Betting_Table[[#This Row],[away_team]], 0)</f>
        <v>1</v>
      </c>
      <c r="S41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1" s="3" t="str">
        <f>IF(Fact_Betting_Table[[#This Row],[Result HomeAway]]="", "", IF(Fact_Betting_Table[[#This Row],[Result HomeAway]]=Fact_Betting_Table[[#This Row],[Prediction HomeAway]],1,0))</f>
        <v/>
      </c>
    </row>
    <row r="42" spans="1:20" x14ac:dyDescent="0.25">
      <c r="A42">
        <v>129991304</v>
      </c>
      <c r="B42" s="2">
        <v>46173.232638888891</v>
      </c>
      <c r="C42" t="s">
        <v>15</v>
      </c>
      <c r="D42" t="s">
        <v>10</v>
      </c>
      <c r="E42">
        <v>0.62296959757804871</v>
      </c>
      <c r="F42">
        <v>0.37703040242195129</v>
      </c>
      <c r="G42" t="s">
        <v>15</v>
      </c>
      <c r="H42" s="2">
        <v>46172.815972222219</v>
      </c>
      <c r="I42">
        <v>2.1800000000000002</v>
      </c>
      <c r="J42">
        <v>1.01</v>
      </c>
      <c r="K42" t="s">
        <v>64</v>
      </c>
      <c r="L42" t="s">
        <v>15</v>
      </c>
      <c r="M42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P42" t="str">
        <f>IF(Fact_Betting_Table[[#This Row],[B365 Closing Line]]="", "", Fact_Betting_Table[[#This Row],[Bet Line]]/Fact_Betting_Table[[#This Row],[B365 Closing Line]]-1)</f>
        <v/>
      </c>
      <c r="Q42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S42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2" s="3" t="str">
        <f>IF(Fact_Betting_Table[[#This Row],[Result HomeAway]]="", "", IF(Fact_Betting_Table[[#This Row],[Result HomeAway]]=Fact_Betting_Table[[#This Row],[Prediction HomeAway]],1,0))</f>
        <v/>
      </c>
    </row>
    <row r="43" spans="1:20" x14ac:dyDescent="0.25">
      <c r="A43">
        <v>129991305</v>
      </c>
      <c r="B43" s="2">
        <v>46174</v>
      </c>
      <c r="C43" t="s">
        <v>9</v>
      </c>
      <c r="D43" t="s">
        <v>11</v>
      </c>
      <c r="E43">
        <v>0.6272544264793396</v>
      </c>
      <c r="F43">
        <v>0.3727455735206604</v>
      </c>
      <c r="G43" t="s">
        <v>9</v>
      </c>
      <c r="H43" s="2">
        <v>46173.583333333336</v>
      </c>
      <c r="I43">
        <v>1.1399999999999999</v>
      </c>
      <c r="J43">
        <v>6.8</v>
      </c>
      <c r="K43" t="s">
        <v>64</v>
      </c>
      <c r="L43" t="s">
        <v>11</v>
      </c>
      <c r="M43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P43" t="str">
        <f>IF(Fact_Betting_Table[[#This Row],[B365 Closing Line]]="", "", Fact_Betting_Table[[#This Row],[Bet Line]]/Fact_Betting_Table[[#This Row],[B365 Closing Line]]-1)</f>
        <v/>
      </c>
      <c r="Q43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S43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3" s="3" t="str">
        <f>IF(Fact_Betting_Table[[#This Row],[Result HomeAway]]="", "", IF(Fact_Betting_Table[[#This Row],[Result HomeAway]]=Fact_Betting_Table[[#This Row],[Prediction HomeAway]],1,0))</f>
        <v/>
      </c>
    </row>
    <row r="44" spans="1:20" x14ac:dyDescent="0.25">
      <c r="A44">
        <v>129991306</v>
      </c>
      <c r="B44" s="2">
        <v>46173.416666666664</v>
      </c>
      <c r="C44" t="s">
        <v>4</v>
      </c>
      <c r="D44" t="s">
        <v>7</v>
      </c>
      <c r="E44">
        <v>0.51928183436393704</v>
      </c>
      <c r="F44">
        <v>0.48071816563606301</v>
      </c>
      <c r="G44" t="s">
        <v>4</v>
      </c>
      <c r="H44" s="2">
        <v>46173.670138888891</v>
      </c>
      <c r="I44">
        <v>1.74</v>
      </c>
      <c r="J44">
        <v>2.2000000000000002</v>
      </c>
      <c r="K44" t="s">
        <v>64</v>
      </c>
      <c r="L44" t="s">
        <v>4</v>
      </c>
      <c r="M4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P44" t="str">
        <f>IF(Fact_Betting_Table[[#This Row],[B365 Closing Line]]="", "", Fact_Betting_Table[[#This Row],[Bet Line]]/Fact_Betting_Table[[#This Row],[B365 Closing Line]]-1)</f>
        <v/>
      </c>
      <c r="Q4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S4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4" s="3" t="str">
        <f>IF(Fact_Betting_Table[[#This Row],[Result HomeAway]]="", "", IF(Fact_Betting_Table[[#This Row],[Result HomeAway]]=Fact_Betting_Table[[#This Row],[Prediction HomeAway]],1,0))</f>
        <v/>
      </c>
    </row>
    <row r="45" spans="1:20" x14ac:dyDescent="0.25">
      <c r="A45">
        <v>129991307</v>
      </c>
      <c r="B45" s="2">
        <v>46174.177083333336</v>
      </c>
      <c r="C45" t="s">
        <v>16</v>
      </c>
      <c r="D45" t="s">
        <v>13</v>
      </c>
      <c r="E45">
        <v>0.53845545649528503</v>
      </c>
      <c r="F45">
        <v>0.46154454350471497</v>
      </c>
      <c r="G45" t="s">
        <v>16</v>
      </c>
      <c r="H45" s="2">
        <v>46173.760416666664</v>
      </c>
      <c r="I45">
        <v>1.55</v>
      </c>
      <c r="J45">
        <v>2.4</v>
      </c>
      <c r="K45" t="s">
        <v>67</v>
      </c>
      <c r="L45" t="s">
        <v>13</v>
      </c>
      <c r="M45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</v>
      </c>
      <c r="P45" t="str">
        <f>IF(Fact_Betting_Table[[#This Row],[B365 Closing Line]]="", "", Fact_Betting_Table[[#This Row],[Bet Line]]/Fact_Betting_Table[[#This Row],[B365 Closing Line]]-1)</f>
        <v/>
      </c>
      <c r="Q45" cm="1">
        <f t="array" ref="Q45">_xlfn.IFS(Fact_Betting_Table[[#This Row],[prediction]]=Fact_Betting_Table[[#This Row],[home_team]], 1, Fact_Betting_Table[[#This Row],[prediction]]=Fact_Betting_Table[[#This Row],[away_team]], 0)</f>
        <v>1</v>
      </c>
      <c r="S45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5" s="3" t="str">
        <f>IF(Fact_Betting_Table[[#This Row],[Result HomeAway]]="", "", IF(Fact_Betting_Table[[#This Row],[Result HomeAway]]=Fact_Betting_Table[[#This Row],[Prediction HomeAway]],1,0))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52"/>
  <sheetViews>
    <sheetView topLeftCell="A5" workbookViewId="0">
      <selection activeCell="K13" sqref="K13"/>
    </sheetView>
  </sheetViews>
  <sheetFormatPr defaultRowHeight="15" x14ac:dyDescent="0.25"/>
  <cols>
    <col min="1" max="1" width="11.42578125" bestFit="1" customWidth="1"/>
    <col min="2" max="2" width="15.85546875" bestFit="1" customWidth="1"/>
    <col min="3" max="3" width="14" bestFit="1" customWidth="1"/>
    <col min="4" max="4" width="13.4257812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4" bestFit="1" customWidth="1"/>
    <col min="9" max="9" width="13.42578125" bestFit="1" customWidth="1"/>
    <col min="10" max="10" width="9" bestFit="1" customWidth="1"/>
  </cols>
  <sheetData>
    <row r="1" spans="1:7" x14ac:dyDescent="0.25">
      <c r="A1" t="s">
        <v>0</v>
      </c>
      <c r="B1" t="s">
        <v>1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25">
      <c r="A2">
        <v>129990801</v>
      </c>
      <c r="B2" s="2">
        <v>46135.416666666664</v>
      </c>
      <c r="C2" t="s">
        <v>5</v>
      </c>
      <c r="D2" t="s">
        <v>4</v>
      </c>
      <c r="E2">
        <v>0.46201175451278698</v>
      </c>
      <c r="F2">
        <v>0.53798824548721302</v>
      </c>
      <c r="G2" t="s">
        <v>4</v>
      </c>
    </row>
    <row r="3" spans="1:7" x14ac:dyDescent="0.25">
      <c r="A3">
        <v>129990803</v>
      </c>
      <c r="B3" s="2">
        <v>46136.416666666664</v>
      </c>
      <c r="C3" t="s">
        <v>9</v>
      </c>
      <c r="D3" t="s">
        <v>8</v>
      </c>
      <c r="E3">
        <v>0.48703813552856401</v>
      </c>
      <c r="F3">
        <v>0.51296186447143599</v>
      </c>
      <c r="G3" t="s">
        <v>8</v>
      </c>
    </row>
    <row r="4" spans="1:7" x14ac:dyDescent="0.25">
      <c r="A4">
        <v>129990802</v>
      </c>
      <c r="B4" s="2">
        <v>46136.416666666664</v>
      </c>
      <c r="C4" t="s">
        <v>7</v>
      </c>
      <c r="D4" t="s">
        <v>6</v>
      </c>
      <c r="E4">
        <v>0.44253998994827298</v>
      </c>
      <c r="F4">
        <v>0.55746001005172696</v>
      </c>
      <c r="G4" t="s">
        <v>6</v>
      </c>
    </row>
    <row r="5" spans="1:7" x14ac:dyDescent="0.25">
      <c r="A5">
        <v>129990805</v>
      </c>
      <c r="B5" s="2">
        <v>46137.416666666664</v>
      </c>
      <c r="C5" t="s">
        <v>13</v>
      </c>
      <c r="D5" t="s">
        <v>12</v>
      </c>
      <c r="E5">
        <v>0.68943500518798795</v>
      </c>
      <c r="F5">
        <v>0.310564994812012</v>
      </c>
      <c r="G5" t="s">
        <v>13</v>
      </c>
    </row>
    <row r="6" spans="1:7" x14ac:dyDescent="0.25">
      <c r="A6">
        <v>129990806</v>
      </c>
      <c r="B6" s="2">
        <v>46137.416666666664</v>
      </c>
      <c r="C6" t="s">
        <v>15</v>
      </c>
      <c r="D6" t="s">
        <v>14</v>
      </c>
      <c r="E6">
        <v>0.42627269029617298</v>
      </c>
      <c r="F6">
        <v>0.57372730970382702</v>
      </c>
      <c r="G6" t="s">
        <v>14</v>
      </c>
    </row>
    <row r="7" spans="1:7" x14ac:dyDescent="0.25">
      <c r="A7">
        <v>129990804</v>
      </c>
      <c r="B7" s="2">
        <v>46137.416666666664</v>
      </c>
      <c r="C7" t="s">
        <v>11</v>
      </c>
      <c r="D7" t="s">
        <v>10</v>
      </c>
      <c r="E7">
        <v>0.399268448352814</v>
      </c>
      <c r="F7">
        <v>0.60073155164718595</v>
      </c>
      <c r="G7" t="s">
        <v>10</v>
      </c>
    </row>
    <row r="8" spans="1:7" x14ac:dyDescent="0.25">
      <c r="A8">
        <v>129990808</v>
      </c>
      <c r="B8" s="2">
        <v>46138.416666666664</v>
      </c>
      <c r="C8" t="s">
        <v>19</v>
      </c>
      <c r="D8" t="s">
        <v>18</v>
      </c>
      <c r="E8">
        <v>0.51558268070220903</v>
      </c>
      <c r="F8">
        <v>0.48441731929779103</v>
      </c>
      <c r="G8" t="s">
        <v>19</v>
      </c>
    </row>
    <row r="9" spans="1:7" x14ac:dyDescent="0.25">
      <c r="A9">
        <v>129990807</v>
      </c>
      <c r="B9" s="2">
        <v>46138.416666666664</v>
      </c>
      <c r="C9" t="s">
        <v>17</v>
      </c>
      <c r="D9" t="s">
        <v>16</v>
      </c>
      <c r="E9">
        <v>0.41327428817749001</v>
      </c>
      <c r="F9">
        <v>0.58672571182250999</v>
      </c>
      <c r="G9" t="s">
        <v>16</v>
      </c>
    </row>
    <row r="10" spans="1:7" x14ac:dyDescent="0.25">
      <c r="A10">
        <v>129990901</v>
      </c>
      <c r="B10" s="2">
        <v>46143.416666666664</v>
      </c>
      <c r="C10" t="s">
        <v>8</v>
      </c>
      <c r="D10" t="s">
        <v>7</v>
      </c>
      <c r="E10">
        <v>0.43192321062088002</v>
      </c>
      <c r="F10">
        <v>0.56807678937911998</v>
      </c>
      <c r="G10" t="s">
        <v>7</v>
      </c>
    </row>
    <row r="11" spans="1:7" x14ac:dyDescent="0.25">
      <c r="A11">
        <v>129990902</v>
      </c>
      <c r="B11" s="2">
        <v>46143.416666666664</v>
      </c>
      <c r="C11" t="s">
        <v>12</v>
      </c>
      <c r="D11" t="s">
        <v>15</v>
      </c>
      <c r="E11">
        <v>0.54520007967948902</v>
      </c>
      <c r="F11">
        <v>0.45479992032051098</v>
      </c>
      <c r="G11" t="s">
        <v>12</v>
      </c>
    </row>
    <row r="12" spans="1:7" x14ac:dyDescent="0.25">
      <c r="A12">
        <v>129990905</v>
      </c>
      <c r="B12" s="2">
        <v>46144.416666666664</v>
      </c>
      <c r="C12" t="s">
        <v>10</v>
      </c>
      <c r="D12" t="s">
        <v>9</v>
      </c>
      <c r="E12">
        <v>0.40842109918594399</v>
      </c>
      <c r="F12">
        <v>0.59157890081405595</v>
      </c>
      <c r="G12" t="s">
        <v>9</v>
      </c>
    </row>
    <row r="13" spans="1:7" x14ac:dyDescent="0.25">
      <c r="A13">
        <v>129990903</v>
      </c>
      <c r="B13" s="2">
        <v>46144.416666666664</v>
      </c>
      <c r="C13" t="s">
        <v>22</v>
      </c>
      <c r="D13" t="s">
        <v>4</v>
      </c>
      <c r="E13">
        <v>0.46796506643295299</v>
      </c>
      <c r="F13">
        <v>0.53203493356704701</v>
      </c>
      <c r="G13" t="s">
        <v>4</v>
      </c>
    </row>
    <row r="14" spans="1:7" x14ac:dyDescent="0.25">
      <c r="A14">
        <v>129990904</v>
      </c>
      <c r="B14" s="2">
        <v>46144.416666666664</v>
      </c>
      <c r="C14" t="s">
        <v>18</v>
      </c>
      <c r="D14" t="s">
        <v>13</v>
      </c>
      <c r="E14">
        <v>0.51314347982406605</v>
      </c>
      <c r="F14">
        <v>0.486856520175934</v>
      </c>
      <c r="G14" t="s">
        <v>18</v>
      </c>
    </row>
    <row r="15" spans="1:7" x14ac:dyDescent="0.25">
      <c r="A15">
        <v>129990908</v>
      </c>
      <c r="B15" s="2">
        <v>46145.416666666664</v>
      </c>
      <c r="C15" t="s">
        <v>16</v>
      </c>
      <c r="D15" t="s">
        <v>19</v>
      </c>
      <c r="E15">
        <v>0.48826622962951699</v>
      </c>
      <c r="F15">
        <v>0.51173377037048295</v>
      </c>
      <c r="G15" t="s">
        <v>19</v>
      </c>
    </row>
    <row r="16" spans="1:7" x14ac:dyDescent="0.25">
      <c r="A16">
        <v>129990906</v>
      </c>
      <c r="B16" s="2">
        <v>46145.416666666664</v>
      </c>
      <c r="C16" t="s">
        <v>17</v>
      </c>
      <c r="D16" t="s">
        <v>14</v>
      </c>
      <c r="E16">
        <v>0.49258524179458602</v>
      </c>
      <c r="F16">
        <v>0.50741475820541404</v>
      </c>
      <c r="G16" t="s">
        <v>14</v>
      </c>
    </row>
    <row r="17" spans="1:7" x14ac:dyDescent="0.25">
      <c r="A17">
        <v>129990907</v>
      </c>
      <c r="B17" s="2">
        <v>46145.416666666664</v>
      </c>
      <c r="C17" t="s">
        <v>6</v>
      </c>
      <c r="D17" t="s">
        <v>5</v>
      </c>
      <c r="E17">
        <v>0.52708521485328697</v>
      </c>
      <c r="F17">
        <v>0.47291478514671298</v>
      </c>
      <c r="G17" t="s">
        <v>6</v>
      </c>
    </row>
    <row r="18" spans="1:7" x14ac:dyDescent="0.25">
      <c r="A18">
        <v>129991001</v>
      </c>
      <c r="B18" s="2">
        <v>46149.416666666664</v>
      </c>
      <c r="C18" t="s">
        <v>12</v>
      </c>
      <c r="D18" t="s">
        <v>8</v>
      </c>
      <c r="E18">
        <v>0.51074704527854897</v>
      </c>
      <c r="F18">
        <v>0.48925295472145103</v>
      </c>
      <c r="G18" t="s">
        <v>12</v>
      </c>
    </row>
    <row r="19" spans="1:7" x14ac:dyDescent="0.25">
      <c r="A19">
        <v>129991003</v>
      </c>
      <c r="B19" s="2">
        <v>46150.416666666664</v>
      </c>
      <c r="C19" t="s">
        <v>7</v>
      </c>
      <c r="D19" t="s">
        <v>18</v>
      </c>
      <c r="E19">
        <v>0.47514605522155801</v>
      </c>
      <c r="F19">
        <v>0.52485394477844205</v>
      </c>
      <c r="G19" t="s">
        <v>18</v>
      </c>
    </row>
    <row r="20" spans="1:7" x14ac:dyDescent="0.25">
      <c r="A20">
        <v>129991002</v>
      </c>
      <c r="B20" s="2">
        <v>46150.416666666664</v>
      </c>
      <c r="C20" t="s">
        <v>10</v>
      </c>
      <c r="D20" t="s">
        <v>22</v>
      </c>
      <c r="E20">
        <v>0.62290695309638999</v>
      </c>
      <c r="F20">
        <v>0.37709304690361001</v>
      </c>
      <c r="G20" t="s">
        <v>10</v>
      </c>
    </row>
    <row r="21" spans="1:7" x14ac:dyDescent="0.25">
      <c r="A21">
        <v>129991006</v>
      </c>
      <c r="B21" s="2">
        <v>46151.416666666664</v>
      </c>
      <c r="C21" t="s">
        <v>19</v>
      </c>
      <c r="D21" t="s">
        <v>9</v>
      </c>
      <c r="E21">
        <v>0.41448318958282498</v>
      </c>
      <c r="F21">
        <v>0.58551681041717496</v>
      </c>
      <c r="G21" t="s">
        <v>9</v>
      </c>
    </row>
    <row r="22" spans="1:7" x14ac:dyDescent="0.25">
      <c r="A22">
        <v>129991004</v>
      </c>
      <c r="B22" s="2">
        <v>46151.416666666664</v>
      </c>
      <c r="C22" t="s">
        <v>11</v>
      </c>
      <c r="D22" t="s">
        <v>17</v>
      </c>
      <c r="E22">
        <v>0.46244102716445901</v>
      </c>
      <c r="F22">
        <v>0.53755897283554099</v>
      </c>
      <c r="G22" t="s">
        <v>17</v>
      </c>
    </row>
    <row r="23" spans="1:7" x14ac:dyDescent="0.25">
      <c r="A23">
        <v>129991005</v>
      </c>
      <c r="B23" s="2">
        <v>46151.416666666664</v>
      </c>
      <c r="C23" t="s">
        <v>14</v>
      </c>
      <c r="D23" t="s">
        <v>6</v>
      </c>
      <c r="E23">
        <v>0.53827929496765103</v>
      </c>
      <c r="F23">
        <v>0.46172070503234902</v>
      </c>
      <c r="G23" t="s">
        <v>14</v>
      </c>
    </row>
    <row r="24" spans="1:7" x14ac:dyDescent="0.25">
      <c r="A24">
        <v>129991008</v>
      </c>
      <c r="B24" s="2">
        <v>46152.416666666664</v>
      </c>
      <c r="C24" t="s">
        <v>4</v>
      </c>
      <c r="D24" t="s">
        <v>16</v>
      </c>
      <c r="E24">
        <v>0.49045950174331698</v>
      </c>
      <c r="F24">
        <v>0.50954049825668302</v>
      </c>
      <c r="G24" t="s">
        <v>16</v>
      </c>
    </row>
    <row r="25" spans="1:7" x14ac:dyDescent="0.25">
      <c r="A25">
        <v>129991007</v>
      </c>
      <c r="B25" s="2">
        <v>46152.416666666664</v>
      </c>
      <c r="C25" t="s">
        <v>15</v>
      </c>
      <c r="D25" t="s">
        <v>5</v>
      </c>
      <c r="E25">
        <v>0.52475470304489102</v>
      </c>
      <c r="F25">
        <v>0.47524529695510898</v>
      </c>
      <c r="G25" t="s">
        <v>15</v>
      </c>
    </row>
    <row r="26" spans="1:7" x14ac:dyDescent="0.25">
      <c r="A26">
        <v>129991101</v>
      </c>
      <c r="B26" s="2">
        <v>46157.416666666664</v>
      </c>
      <c r="C26" t="s">
        <v>6</v>
      </c>
      <c r="D26" t="s">
        <v>8</v>
      </c>
      <c r="E26">
        <v>0.584493428468704</v>
      </c>
      <c r="F26">
        <v>0.415506571531296</v>
      </c>
      <c r="G26" t="s">
        <v>6</v>
      </c>
    </row>
    <row r="27" spans="1:7" x14ac:dyDescent="0.25">
      <c r="A27">
        <v>129991102</v>
      </c>
      <c r="B27" s="2">
        <v>46157.416666666664</v>
      </c>
      <c r="C27" t="s">
        <v>14</v>
      </c>
      <c r="D27" t="s">
        <v>12</v>
      </c>
      <c r="E27">
        <v>0.57210445404052701</v>
      </c>
      <c r="F27">
        <v>0.42789554595947299</v>
      </c>
      <c r="G27" t="s">
        <v>14</v>
      </c>
    </row>
    <row r="28" spans="1:7" x14ac:dyDescent="0.25">
      <c r="A28">
        <v>129991104</v>
      </c>
      <c r="B28" s="2">
        <v>46158.416666666664</v>
      </c>
      <c r="C28" t="s">
        <v>10</v>
      </c>
      <c r="D28" t="s">
        <v>7</v>
      </c>
      <c r="E28">
        <v>0.52142664790153503</v>
      </c>
      <c r="F28">
        <v>0.47857335209846502</v>
      </c>
      <c r="G28" t="s">
        <v>10</v>
      </c>
    </row>
    <row r="29" spans="1:7" x14ac:dyDescent="0.25">
      <c r="A29">
        <v>129991103</v>
      </c>
      <c r="B29" s="2">
        <v>46158.416666666664</v>
      </c>
      <c r="C29" t="s">
        <v>5</v>
      </c>
      <c r="D29" t="s">
        <v>19</v>
      </c>
      <c r="E29">
        <v>0.47613638639450101</v>
      </c>
      <c r="F29">
        <v>0.52386361360549905</v>
      </c>
      <c r="G29" t="s">
        <v>19</v>
      </c>
    </row>
    <row r="30" spans="1:7" x14ac:dyDescent="0.25">
      <c r="A30">
        <v>129991105</v>
      </c>
      <c r="B30" s="2">
        <v>46158.416666666664</v>
      </c>
      <c r="C30" t="s">
        <v>18</v>
      </c>
      <c r="D30" t="s">
        <v>15</v>
      </c>
      <c r="E30">
        <v>0.511417716741562</v>
      </c>
      <c r="F30">
        <v>0.488582283258438</v>
      </c>
      <c r="G30" t="s">
        <v>18</v>
      </c>
    </row>
    <row r="31" spans="1:7" x14ac:dyDescent="0.25">
      <c r="A31">
        <v>129991107</v>
      </c>
      <c r="B31" s="2">
        <v>46159.416666666664</v>
      </c>
      <c r="C31" t="s">
        <v>13</v>
      </c>
      <c r="D31" t="s">
        <v>9</v>
      </c>
      <c r="E31">
        <v>0.36237198114395103</v>
      </c>
      <c r="F31">
        <v>0.63762801885604903</v>
      </c>
      <c r="G31" t="s">
        <v>9</v>
      </c>
    </row>
    <row r="32" spans="1:7" x14ac:dyDescent="0.25">
      <c r="A32">
        <v>129991108</v>
      </c>
      <c r="B32" s="2">
        <v>46159.416666666664</v>
      </c>
      <c r="C32" t="s">
        <v>16</v>
      </c>
      <c r="D32" t="s">
        <v>11</v>
      </c>
      <c r="E32">
        <v>0.540525883436203</v>
      </c>
      <c r="F32">
        <v>0.459474116563797</v>
      </c>
      <c r="G32" t="s">
        <v>16</v>
      </c>
    </row>
    <row r="33" spans="1:7" x14ac:dyDescent="0.25">
      <c r="A33">
        <v>129991106</v>
      </c>
      <c r="B33" s="2">
        <v>46159.416666666664</v>
      </c>
      <c r="C33" t="s">
        <v>22</v>
      </c>
      <c r="D33" t="s">
        <v>17</v>
      </c>
      <c r="E33">
        <v>0.441200911998749</v>
      </c>
      <c r="F33">
        <v>0.558799088001251</v>
      </c>
      <c r="G33" t="s">
        <v>17</v>
      </c>
    </row>
    <row r="34" spans="1:7" x14ac:dyDescent="0.25">
      <c r="A34">
        <v>129991201</v>
      </c>
      <c r="B34" s="2">
        <v>46163.416666666664</v>
      </c>
      <c r="C34" t="s">
        <v>4</v>
      </c>
      <c r="D34" t="s">
        <v>12</v>
      </c>
      <c r="E34">
        <v>0.44810938835143999</v>
      </c>
      <c r="F34">
        <v>0.55189061164856001</v>
      </c>
      <c r="G34" t="s">
        <v>12</v>
      </c>
    </row>
    <row r="35" spans="1:7" x14ac:dyDescent="0.25">
      <c r="A35">
        <v>129991202</v>
      </c>
      <c r="B35" s="2">
        <v>46164.416666666664</v>
      </c>
      <c r="C35" t="s">
        <v>8</v>
      </c>
      <c r="D35" t="s">
        <v>15</v>
      </c>
      <c r="E35">
        <v>0.51166483759880099</v>
      </c>
      <c r="F35">
        <v>0.48833516240119901</v>
      </c>
      <c r="G35" t="s">
        <v>8</v>
      </c>
    </row>
    <row r="36" spans="1:7" x14ac:dyDescent="0.25">
      <c r="A36">
        <v>129991204</v>
      </c>
      <c r="B36" s="2">
        <v>46165.416666666664</v>
      </c>
      <c r="C36" t="s">
        <v>19</v>
      </c>
      <c r="D36" t="s">
        <v>22</v>
      </c>
      <c r="E36">
        <v>0.56811690330505404</v>
      </c>
      <c r="F36">
        <v>0.43188309669494601</v>
      </c>
      <c r="G36" t="s">
        <v>19</v>
      </c>
    </row>
    <row r="37" spans="1:7" x14ac:dyDescent="0.25">
      <c r="A37">
        <v>129991203</v>
      </c>
      <c r="B37" s="2">
        <v>46165.416666666664</v>
      </c>
      <c r="C37" t="s">
        <v>11</v>
      </c>
      <c r="D37" t="s">
        <v>13</v>
      </c>
      <c r="E37">
        <v>0.47292482852935802</v>
      </c>
      <c r="F37">
        <v>0.52707517147064198</v>
      </c>
      <c r="G37" t="s">
        <v>13</v>
      </c>
    </row>
    <row r="38" spans="1:7" x14ac:dyDescent="0.25">
      <c r="A38">
        <v>129991205</v>
      </c>
      <c r="B38" s="2">
        <v>46166.416666666664</v>
      </c>
      <c r="C38" t="s">
        <v>7</v>
      </c>
      <c r="D38" t="s">
        <v>14</v>
      </c>
      <c r="E38">
        <v>0.48554360866546598</v>
      </c>
      <c r="F38">
        <v>0.51445639133453402</v>
      </c>
      <c r="G38" t="s">
        <v>14</v>
      </c>
    </row>
    <row r="39" spans="1:7" x14ac:dyDescent="0.25">
      <c r="A39">
        <v>129991301</v>
      </c>
      <c r="B39" s="2">
        <v>46171.416666666664</v>
      </c>
      <c r="C39" t="s">
        <v>6</v>
      </c>
      <c r="D39" t="s">
        <v>19</v>
      </c>
      <c r="E39">
        <v>0.56846743822097801</v>
      </c>
      <c r="F39">
        <v>0.43153256177902199</v>
      </c>
      <c r="G39" t="s">
        <v>6</v>
      </c>
    </row>
    <row r="40" spans="1:7" x14ac:dyDescent="0.25">
      <c r="A40">
        <v>129991302</v>
      </c>
      <c r="B40" s="2">
        <v>46172.416666666664</v>
      </c>
      <c r="C40" t="s">
        <v>17</v>
      </c>
      <c r="D40" t="s">
        <v>18</v>
      </c>
      <c r="E40">
        <v>0.37015575170517001</v>
      </c>
      <c r="F40">
        <v>0.62984424829482999</v>
      </c>
      <c r="G40" t="s">
        <v>18</v>
      </c>
    </row>
    <row r="41" spans="1:7" x14ac:dyDescent="0.25">
      <c r="A41">
        <v>129991303</v>
      </c>
      <c r="B41" s="2">
        <v>46172.416666666664</v>
      </c>
      <c r="C41" t="s">
        <v>5</v>
      </c>
      <c r="D41" t="s">
        <v>8</v>
      </c>
      <c r="E41">
        <v>0.48810619115829501</v>
      </c>
      <c r="F41">
        <v>0.51189380884170499</v>
      </c>
      <c r="G41" t="s">
        <v>8</v>
      </c>
    </row>
    <row r="42" spans="1:7" x14ac:dyDescent="0.25">
      <c r="A42">
        <v>129991304</v>
      </c>
      <c r="B42" s="2">
        <v>46172.416666666664</v>
      </c>
      <c r="C42" t="s">
        <v>15</v>
      </c>
      <c r="D42" t="s">
        <v>10</v>
      </c>
      <c r="E42">
        <v>0.50573775172233604</v>
      </c>
      <c r="F42">
        <v>0.49426224827766402</v>
      </c>
      <c r="G42" t="s">
        <v>15</v>
      </c>
    </row>
    <row r="43" spans="1:7" x14ac:dyDescent="0.25">
      <c r="A43">
        <v>129991305</v>
      </c>
      <c r="B43" s="2">
        <v>46173.416666666664</v>
      </c>
      <c r="C43" t="s">
        <v>9</v>
      </c>
      <c r="D43" t="s">
        <v>11</v>
      </c>
      <c r="E43">
        <v>0.54041472077369701</v>
      </c>
      <c r="F43">
        <v>0.45958527922630299</v>
      </c>
      <c r="G43" t="s">
        <v>9</v>
      </c>
    </row>
    <row r="44" spans="1:7" x14ac:dyDescent="0.25">
      <c r="A44">
        <v>129991306</v>
      </c>
      <c r="B44" s="2">
        <v>46173.416666666664</v>
      </c>
      <c r="C44" t="s">
        <v>4</v>
      </c>
      <c r="D44" t="s">
        <v>7</v>
      </c>
      <c r="E44">
        <v>0.51928183436393704</v>
      </c>
      <c r="F44">
        <v>0.48071816563606301</v>
      </c>
      <c r="G44" t="s">
        <v>4</v>
      </c>
    </row>
    <row r="45" spans="1:7" x14ac:dyDescent="0.25">
      <c r="A45">
        <v>129991307</v>
      </c>
      <c r="B45" s="2">
        <v>46173.416666666664</v>
      </c>
      <c r="C45" t="s">
        <v>16</v>
      </c>
      <c r="D45" t="s">
        <v>13</v>
      </c>
      <c r="E45">
        <v>0.48409497737884499</v>
      </c>
      <c r="F45">
        <v>0.51590502262115501</v>
      </c>
      <c r="G45" t="s">
        <v>13</v>
      </c>
    </row>
    <row r="46" spans="1:7" x14ac:dyDescent="0.25">
      <c r="A46">
        <v>129991301</v>
      </c>
      <c r="B46" s="2">
        <v>46172.25</v>
      </c>
      <c r="C46" t="s">
        <v>6</v>
      </c>
      <c r="D46" t="s">
        <v>19</v>
      </c>
      <c r="E46">
        <v>0.6232207715511322</v>
      </c>
      <c r="F46">
        <v>0.3767792284488678</v>
      </c>
      <c r="G46" t="s">
        <v>6</v>
      </c>
    </row>
    <row r="47" spans="1:7" x14ac:dyDescent="0.25">
      <c r="A47">
        <v>129991302</v>
      </c>
      <c r="B47" s="2">
        <v>46173.041666666664</v>
      </c>
      <c r="C47" t="s">
        <v>17</v>
      </c>
      <c r="D47" t="s">
        <v>18</v>
      </c>
      <c r="E47">
        <v>0.59300559759140015</v>
      </c>
      <c r="F47">
        <v>0.40699440240859985</v>
      </c>
      <c r="G47" t="s">
        <v>17</v>
      </c>
    </row>
    <row r="48" spans="1:7" x14ac:dyDescent="0.25">
      <c r="A48">
        <v>129991303</v>
      </c>
      <c r="B48" s="2">
        <v>46173.145833333336</v>
      </c>
      <c r="C48" t="s">
        <v>5</v>
      </c>
      <c r="D48" t="s">
        <v>8</v>
      </c>
      <c r="E48">
        <v>0.62406075000762939</v>
      </c>
      <c r="F48">
        <v>0.37593924999237061</v>
      </c>
      <c r="G48" t="s">
        <v>5</v>
      </c>
    </row>
    <row r="49" spans="1:7" x14ac:dyDescent="0.25">
      <c r="A49">
        <v>129991304</v>
      </c>
      <c r="B49" s="2">
        <v>46173.232638888891</v>
      </c>
      <c r="C49" t="s">
        <v>15</v>
      </c>
      <c r="D49" t="s">
        <v>10</v>
      </c>
      <c r="E49">
        <v>0.62296959757804871</v>
      </c>
      <c r="F49">
        <v>0.37703040242195129</v>
      </c>
      <c r="G49" t="s">
        <v>15</v>
      </c>
    </row>
    <row r="50" spans="1:7" x14ac:dyDescent="0.25">
      <c r="A50">
        <v>129991305</v>
      </c>
      <c r="B50" s="2">
        <v>46174</v>
      </c>
      <c r="C50" t="s">
        <v>9</v>
      </c>
      <c r="D50" t="s">
        <v>11</v>
      </c>
      <c r="E50">
        <v>0.6272544264793396</v>
      </c>
      <c r="F50">
        <v>0.3727455735206604</v>
      </c>
      <c r="G50" t="s">
        <v>9</v>
      </c>
    </row>
    <row r="51" spans="1:7" x14ac:dyDescent="0.25">
      <c r="A51">
        <v>129991306</v>
      </c>
      <c r="B51" s="2">
        <v>46174.086805555555</v>
      </c>
      <c r="C51" t="s">
        <v>4</v>
      </c>
      <c r="D51" t="s">
        <v>7</v>
      </c>
      <c r="E51">
        <v>0.62365555763244629</v>
      </c>
      <c r="F51">
        <v>0.37634444236755371</v>
      </c>
      <c r="G51" t="s">
        <v>4</v>
      </c>
    </row>
    <row r="52" spans="1:7" x14ac:dyDescent="0.25">
      <c r="A52">
        <v>129991307</v>
      </c>
      <c r="B52" s="2">
        <v>46174.177083333336</v>
      </c>
      <c r="C52" t="s">
        <v>16</v>
      </c>
      <c r="D52" t="s">
        <v>13</v>
      </c>
      <c r="E52">
        <v>0.53845545649528503</v>
      </c>
      <c r="F52">
        <v>0.46154454350471497</v>
      </c>
      <c r="G52" t="s">
        <v>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221"/>
  <sheetViews>
    <sheetView topLeftCell="A111"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4" bestFit="1" customWidth="1"/>
    <col min="4" max="5" width="13.42578125" bestFit="1" customWidth="1"/>
    <col min="6" max="6" width="9.5703125" bestFit="1" customWidth="1"/>
    <col min="7" max="7" width="19.5703125" bestFit="1" customWidth="1"/>
    <col min="8" max="8" width="18.85546875" bestFit="1" customWidth="1"/>
    <col min="9" max="9" width="15.85546875" bestFit="1" customWidth="1"/>
    <col min="10" max="10" width="14" bestFit="1" customWidth="1"/>
    <col min="11" max="11" width="12.42578125" bestFit="1" customWidth="1"/>
    <col min="12" max="12" width="12.85546875" bestFit="1" customWidth="1"/>
  </cols>
  <sheetData>
    <row r="1" spans="1:9" x14ac:dyDescent="0.25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25">
      <c r="A2">
        <v>129991101</v>
      </c>
      <c r="B2" s="2">
        <v>46157.416666666664</v>
      </c>
      <c r="C2" t="s">
        <v>6</v>
      </c>
      <c r="D2" t="s">
        <v>8</v>
      </c>
      <c r="E2" t="s">
        <v>63</v>
      </c>
      <c r="F2" t="s">
        <v>69</v>
      </c>
      <c r="G2">
        <v>1.5</v>
      </c>
      <c r="H2">
        <v>2.6</v>
      </c>
      <c r="I2" s="2">
        <v>46154.669942129629</v>
      </c>
    </row>
    <row r="3" spans="1:9" x14ac:dyDescent="0.25">
      <c r="A3">
        <v>129991101</v>
      </c>
      <c r="B3" s="2">
        <v>46157.416666666664</v>
      </c>
      <c r="C3" t="s">
        <v>6</v>
      </c>
      <c r="D3" t="s">
        <v>8</v>
      </c>
      <c r="E3" t="s">
        <v>64</v>
      </c>
      <c r="F3" t="s">
        <v>69</v>
      </c>
      <c r="G3">
        <v>1.52</v>
      </c>
      <c r="H3">
        <v>1.04</v>
      </c>
      <c r="I3" s="2">
        <v>46154.669953703706</v>
      </c>
    </row>
    <row r="4" spans="1:9" x14ac:dyDescent="0.25">
      <c r="A4">
        <v>129991101</v>
      </c>
      <c r="B4" s="2">
        <v>46157.416666666664</v>
      </c>
      <c r="C4" t="s">
        <v>6</v>
      </c>
      <c r="D4" t="s">
        <v>8</v>
      </c>
      <c r="E4" t="s">
        <v>66</v>
      </c>
      <c r="F4" t="s">
        <v>69</v>
      </c>
      <c r="G4">
        <v>1.5</v>
      </c>
      <c r="H4">
        <v>2.6</v>
      </c>
      <c r="I4" s="2">
        <v>46154.669629629629</v>
      </c>
    </row>
    <row r="5" spans="1:9" x14ac:dyDescent="0.25">
      <c r="A5">
        <v>129991101</v>
      </c>
      <c r="B5" s="2">
        <v>46157.416666666664</v>
      </c>
      <c r="C5" t="s">
        <v>6</v>
      </c>
      <c r="D5" t="s">
        <v>8</v>
      </c>
      <c r="E5" t="s">
        <v>70</v>
      </c>
      <c r="F5" t="s">
        <v>69</v>
      </c>
      <c r="G5">
        <v>1.52</v>
      </c>
      <c r="H5">
        <v>2.5499999999999998</v>
      </c>
      <c r="I5" s="2">
        <v>46154.669618055559</v>
      </c>
    </row>
    <row r="6" spans="1:9" x14ac:dyDescent="0.25">
      <c r="A6">
        <v>129991101</v>
      </c>
      <c r="B6" s="2">
        <v>46157.416666666664</v>
      </c>
      <c r="C6" t="s">
        <v>6</v>
      </c>
      <c r="D6" t="s">
        <v>8</v>
      </c>
      <c r="E6" t="s">
        <v>65</v>
      </c>
      <c r="F6" t="s">
        <v>69</v>
      </c>
      <c r="G6">
        <v>1.52</v>
      </c>
      <c r="H6">
        <v>2.5499999999999998</v>
      </c>
      <c r="I6" s="2">
        <v>46154.669791666667</v>
      </c>
    </row>
    <row r="7" spans="1:9" x14ac:dyDescent="0.25">
      <c r="A7">
        <v>129991101</v>
      </c>
      <c r="B7" s="2">
        <v>46157.416666666664</v>
      </c>
      <c r="C7" t="s">
        <v>6</v>
      </c>
      <c r="D7" t="s">
        <v>8</v>
      </c>
      <c r="E7" t="s">
        <v>71</v>
      </c>
      <c r="F7" t="s">
        <v>69</v>
      </c>
      <c r="G7">
        <v>1.5</v>
      </c>
      <c r="H7">
        <v>2.5499999999999998</v>
      </c>
      <c r="I7" s="2">
        <v>46154.670104166667</v>
      </c>
    </row>
    <row r="8" spans="1:9" x14ac:dyDescent="0.25">
      <c r="A8">
        <v>129991101</v>
      </c>
      <c r="B8" s="2">
        <v>46157.416666666664</v>
      </c>
      <c r="C8" t="s">
        <v>6</v>
      </c>
      <c r="D8" t="s">
        <v>8</v>
      </c>
      <c r="E8" t="s">
        <v>67</v>
      </c>
      <c r="F8" t="s">
        <v>69</v>
      </c>
      <c r="G8">
        <v>1.53</v>
      </c>
      <c r="H8">
        <v>2.4500000000000002</v>
      </c>
      <c r="I8" s="2">
        <v>46154.669942129629</v>
      </c>
    </row>
    <row r="9" spans="1:9" x14ac:dyDescent="0.25">
      <c r="A9">
        <v>129991101</v>
      </c>
      <c r="B9" s="2">
        <v>46157.416666666664</v>
      </c>
      <c r="C9" t="s">
        <v>6</v>
      </c>
      <c r="D9" t="s">
        <v>8</v>
      </c>
      <c r="E9" t="s">
        <v>61</v>
      </c>
      <c r="F9" t="s">
        <v>69</v>
      </c>
      <c r="G9">
        <v>1.48</v>
      </c>
      <c r="H9">
        <v>2.67</v>
      </c>
      <c r="I9" s="2">
        <v>46154.669942129629</v>
      </c>
    </row>
    <row r="10" spans="1:9" x14ac:dyDescent="0.25">
      <c r="A10">
        <v>129991101</v>
      </c>
      <c r="B10" s="2">
        <v>46157.416666666664</v>
      </c>
      <c r="C10" t="s">
        <v>6</v>
      </c>
      <c r="D10" t="s">
        <v>8</v>
      </c>
      <c r="E10" t="s">
        <v>62</v>
      </c>
      <c r="F10" t="s">
        <v>69</v>
      </c>
      <c r="G10">
        <v>1.5</v>
      </c>
      <c r="H10">
        <v>2.6</v>
      </c>
      <c r="I10" s="2">
        <v>46154.669803240744</v>
      </c>
    </row>
    <row r="11" spans="1:9" x14ac:dyDescent="0.25">
      <c r="A11">
        <v>129991101</v>
      </c>
      <c r="B11" s="2">
        <v>46157.416666666664</v>
      </c>
      <c r="C11" t="s">
        <v>6</v>
      </c>
      <c r="D11" t="s">
        <v>8</v>
      </c>
      <c r="E11" t="s">
        <v>72</v>
      </c>
      <c r="F11" t="s">
        <v>69</v>
      </c>
      <c r="G11">
        <v>1.5</v>
      </c>
      <c r="H11">
        <v>2.6</v>
      </c>
      <c r="I11" s="2">
        <v>46154.670092592591</v>
      </c>
    </row>
    <row r="12" spans="1:9" x14ac:dyDescent="0.25">
      <c r="A12">
        <v>129991101</v>
      </c>
      <c r="B12" s="2">
        <v>46157.416666666664</v>
      </c>
      <c r="C12" t="s">
        <v>6</v>
      </c>
      <c r="D12" t="s">
        <v>8</v>
      </c>
      <c r="E12" t="s">
        <v>73</v>
      </c>
      <c r="F12" t="s">
        <v>69</v>
      </c>
      <c r="G12">
        <v>1.5</v>
      </c>
      <c r="H12">
        <v>2.5499999999999998</v>
      </c>
      <c r="I12" s="2">
        <v>46154.669629629629</v>
      </c>
    </row>
    <row r="13" spans="1:9" x14ac:dyDescent="0.25">
      <c r="A13">
        <v>129991102</v>
      </c>
      <c r="B13" s="2">
        <v>46157.416666666664</v>
      </c>
      <c r="C13" t="s">
        <v>14</v>
      </c>
      <c r="D13" t="s">
        <v>12</v>
      </c>
      <c r="E13" t="s">
        <v>63</v>
      </c>
      <c r="F13" t="s">
        <v>69</v>
      </c>
      <c r="G13">
        <v>2</v>
      </c>
      <c r="H13">
        <v>1.82</v>
      </c>
      <c r="I13" s="2">
        <v>46154.669942129629</v>
      </c>
    </row>
    <row r="14" spans="1:9" x14ac:dyDescent="0.25">
      <c r="A14">
        <v>129991102</v>
      </c>
      <c r="B14" s="2">
        <v>46157.416666666664</v>
      </c>
      <c r="C14" t="s">
        <v>14</v>
      </c>
      <c r="D14" t="s">
        <v>12</v>
      </c>
      <c r="E14" t="s">
        <v>64</v>
      </c>
      <c r="F14" t="s">
        <v>69</v>
      </c>
      <c r="G14">
        <v>1.91</v>
      </c>
      <c r="H14">
        <v>1.76</v>
      </c>
      <c r="I14" s="2">
        <v>46154.669953703706</v>
      </c>
    </row>
    <row r="15" spans="1:9" x14ac:dyDescent="0.25">
      <c r="A15">
        <v>129991102</v>
      </c>
      <c r="B15" s="2">
        <v>46157.416666666664</v>
      </c>
      <c r="C15" t="s">
        <v>14</v>
      </c>
      <c r="D15" t="s">
        <v>12</v>
      </c>
      <c r="E15" t="s">
        <v>66</v>
      </c>
      <c r="F15" t="s">
        <v>69</v>
      </c>
      <c r="G15">
        <v>2</v>
      </c>
      <c r="H15">
        <v>1.8</v>
      </c>
      <c r="I15" s="2">
        <v>46154.669629629629</v>
      </c>
    </row>
    <row r="16" spans="1:9" x14ac:dyDescent="0.25">
      <c r="A16">
        <v>129991102</v>
      </c>
      <c r="B16" s="2">
        <v>46157.416666666664</v>
      </c>
      <c r="C16" t="s">
        <v>14</v>
      </c>
      <c r="D16" t="s">
        <v>12</v>
      </c>
      <c r="E16" t="s">
        <v>70</v>
      </c>
      <c r="F16" t="s">
        <v>69</v>
      </c>
      <c r="G16">
        <v>2</v>
      </c>
      <c r="H16">
        <v>1.82</v>
      </c>
      <c r="I16" s="2">
        <v>46154.669618055559</v>
      </c>
    </row>
    <row r="17" spans="1:9" x14ac:dyDescent="0.25">
      <c r="A17">
        <v>129991102</v>
      </c>
      <c r="B17" s="2">
        <v>46157.416666666664</v>
      </c>
      <c r="C17" t="s">
        <v>14</v>
      </c>
      <c r="D17" t="s">
        <v>12</v>
      </c>
      <c r="E17" t="s">
        <v>65</v>
      </c>
      <c r="F17" t="s">
        <v>69</v>
      </c>
      <c r="G17">
        <v>2</v>
      </c>
      <c r="H17">
        <v>1.82</v>
      </c>
      <c r="I17" s="2">
        <v>46154.669791666667</v>
      </c>
    </row>
    <row r="18" spans="1:9" x14ac:dyDescent="0.25">
      <c r="A18">
        <v>129991102</v>
      </c>
      <c r="B18" s="2">
        <v>46157.416666666664</v>
      </c>
      <c r="C18" t="s">
        <v>14</v>
      </c>
      <c r="D18" t="s">
        <v>12</v>
      </c>
      <c r="E18" t="s">
        <v>71</v>
      </c>
      <c r="F18" t="s">
        <v>69</v>
      </c>
      <c r="G18">
        <v>2.02</v>
      </c>
      <c r="H18">
        <v>1.77</v>
      </c>
      <c r="I18" s="2">
        <v>46154.670104166667</v>
      </c>
    </row>
    <row r="19" spans="1:9" x14ac:dyDescent="0.25">
      <c r="A19">
        <v>129991102</v>
      </c>
      <c r="B19" s="2">
        <v>46157.416666666664</v>
      </c>
      <c r="C19" t="s">
        <v>14</v>
      </c>
      <c r="D19" t="s">
        <v>12</v>
      </c>
      <c r="E19" t="s">
        <v>67</v>
      </c>
      <c r="F19" t="s">
        <v>69</v>
      </c>
      <c r="G19">
        <v>1.85</v>
      </c>
      <c r="H19">
        <v>1.95</v>
      </c>
      <c r="I19" s="2">
        <v>46154.669942129629</v>
      </c>
    </row>
    <row r="20" spans="1:9" x14ac:dyDescent="0.25">
      <c r="A20">
        <v>129991102</v>
      </c>
      <c r="B20" s="2">
        <v>46157.416666666664</v>
      </c>
      <c r="C20" t="s">
        <v>14</v>
      </c>
      <c r="D20" t="s">
        <v>12</v>
      </c>
      <c r="E20" t="s">
        <v>61</v>
      </c>
      <c r="F20" t="s">
        <v>69</v>
      </c>
      <c r="G20">
        <v>2</v>
      </c>
      <c r="H20">
        <v>1.84</v>
      </c>
      <c r="I20" s="2">
        <v>46154.669942129629</v>
      </c>
    </row>
    <row r="21" spans="1:9" x14ac:dyDescent="0.25">
      <c r="A21">
        <v>129991102</v>
      </c>
      <c r="B21" s="2">
        <v>46157.416666666664</v>
      </c>
      <c r="C21" t="s">
        <v>14</v>
      </c>
      <c r="D21" t="s">
        <v>12</v>
      </c>
      <c r="E21" t="s">
        <v>62</v>
      </c>
      <c r="F21" t="s">
        <v>69</v>
      </c>
      <c r="G21">
        <v>2.0499999999999998</v>
      </c>
      <c r="H21">
        <v>1.77</v>
      </c>
      <c r="I21" s="2">
        <v>46154.669803240744</v>
      </c>
    </row>
    <row r="22" spans="1:9" x14ac:dyDescent="0.25">
      <c r="A22">
        <v>129991102</v>
      </c>
      <c r="B22" s="2">
        <v>46157.416666666664</v>
      </c>
      <c r="C22" t="s">
        <v>14</v>
      </c>
      <c r="D22" t="s">
        <v>12</v>
      </c>
      <c r="E22" t="s">
        <v>72</v>
      </c>
      <c r="F22" t="s">
        <v>69</v>
      </c>
      <c r="G22">
        <v>2.0499999999999998</v>
      </c>
      <c r="H22">
        <v>1.77</v>
      </c>
      <c r="I22" s="2">
        <v>46154.670092592591</v>
      </c>
    </row>
    <row r="23" spans="1:9" x14ac:dyDescent="0.25">
      <c r="A23">
        <v>129991102</v>
      </c>
      <c r="B23" s="2">
        <v>46157.416666666664</v>
      </c>
      <c r="C23" t="s">
        <v>14</v>
      </c>
      <c r="D23" t="s">
        <v>12</v>
      </c>
      <c r="E23" t="s">
        <v>73</v>
      </c>
      <c r="F23" t="s">
        <v>69</v>
      </c>
      <c r="G23">
        <v>2.04</v>
      </c>
      <c r="H23">
        <v>1.76</v>
      </c>
      <c r="I23" s="2">
        <v>46154.669629629629</v>
      </c>
    </row>
    <row r="24" spans="1:9" x14ac:dyDescent="0.25">
      <c r="A24">
        <v>129991103</v>
      </c>
      <c r="B24" s="2">
        <v>46158.416666666664</v>
      </c>
      <c r="C24" t="s">
        <v>5</v>
      </c>
      <c r="D24" t="s">
        <v>19</v>
      </c>
      <c r="E24" t="s">
        <v>63</v>
      </c>
      <c r="F24" t="s">
        <v>69</v>
      </c>
      <c r="G24">
        <v>3.55</v>
      </c>
      <c r="H24">
        <v>1.3</v>
      </c>
      <c r="I24" s="2">
        <v>46154.669942129629</v>
      </c>
    </row>
    <row r="25" spans="1:9" x14ac:dyDescent="0.25">
      <c r="A25">
        <v>129991103</v>
      </c>
      <c r="B25" s="2">
        <v>46158.416666666664</v>
      </c>
      <c r="C25" t="s">
        <v>5</v>
      </c>
      <c r="D25" t="s">
        <v>19</v>
      </c>
      <c r="E25" t="s">
        <v>64</v>
      </c>
      <c r="F25" t="s">
        <v>69</v>
      </c>
      <c r="G25">
        <v>3.5</v>
      </c>
      <c r="H25">
        <v>1.1000000000000001</v>
      </c>
      <c r="I25" s="2">
        <v>46154.669953703706</v>
      </c>
    </row>
    <row r="26" spans="1:9" x14ac:dyDescent="0.25">
      <c r="A26">
        <v>129991103</v>
      </c>
      <c r="B26" s="2">
        <v>46158.416666666664</v>
      </c>
      <c r="C26" t="s">
        <v>5</v>
      </c>
      <c r="D26" t="s">
        <v>19</v>
      </c>
      <c r="E26" t="s">
        <v>66</v>
      </c>
      <c r="F26" t="s">
        <v>69</v>
      </c>
      <c r="G26">
        <v>3.6</v>
      </c>
      <c r="H26">
        <v>1.29</v>
      </c>
      <c r="I26" s="2">
        <v>46154.669629629629</v>
      </c>
    </row>
    <row r="27" spans="1:9" x14ac:dyDescent="0.25">
      <c r="A27">
        <v>129991103</v>
      </c>
      <c r="B27" s="2">
        <v>46158.416666666664</v>
      </c>
      <c r="C27" t="s">
        <v>5</v>
      </c>
      <c r="D27" t="s">
        <v>19</v>
      </c>
      <c r="E27" t="s">
        <v>70</v>
      </c>
      <c r="F27" t="s">
        <v>69</v>
      </c>
      <c r="G27">
        <v>3.5</v>
      </c>
      <c r="H27">
        <v>1.3</v>
      </c>
      <c r="I27" s="2">
        <v>46154.669618055559</v>
      </c>
    </row>
    <row r="28" spans="1:9" x14ac:dyDescent="0.25">
      <c r="A28">
        <v>129991103</v>
      </c>
      <c r="B28" s="2">
        <v>46158.416666666664</v>
      </c>
      <c r="C28" t="s">
        <v>5</v>
      </c>
      <c r="D28" t="s">
        <v>19</v>
      </c>
      <c r="E28" t="s">
        <v>65</v>
      </c>
      <c r="F28" t="s">
        <v>69</v>
      </c>
      <c r="G28">
        <v>3.5</v>
      </c>
      <c r="H28">
        <v>1.3</v>
      </c>
      <c r="I28" s="2">
        <v>46154.669791666667</v>
      </c>
    </row>
    <row r="29" spans="1:9" x14ac:dyDescent="0.25">
      <c r="A29">
        <v>129991103</v>
      </c>
      <c r="B29" s="2">
        <v>46158.416666666664</v>
      </c>
      <c r="C29" t="s">
        <v>5</v>
      </c>
      <c r="D29" t="s">
        <v>19</v>
      </c>
      <c r="E29" t="s">
        <v>71</v>
      </c>
      <c r="F29" t="s">
        <v>69</v>
      </c>
      <c r="G29">
        <v>3.6</v>
      </c>
      <c r="H29">
        <v>1.28</v>
      </c>
      <c r="I29" s="2">
        <v>46154.670104166667</v>
      </c>
    </row>
    <row r="30" spans="1:9" x14ac:dyDescent="0.25">
      <c r="A30">
        <v>129991103</v>
      </c>
      <c r="B30" s="2">
        <v>46158.416666666664</v>
      </c>
      <c r="C30" t="s">
        <v>5</v>
      </c>
      <c r="D30" t="s">
        <v>19</v>
      </c>
      <c r="E30" t="s">
        <v>67</v>
      </c>
      <c r="F30" t="s">
        <v>69</v>
      </c>
      <c r="G30">
        <v>3.6</v>
      </c>
      <c r="H30">
        <v>1.28</v>
      </c>
      <c r="I30" s="2">
        <v>46154.669942129629</v>
      </c>
    </row>
    <row r="31" spans="1:9" x14ac:dyDescent="0.25">
      <c r="A31">
        <v>129991103</v>
      </c>
      <c r="B31" s="2">
        <v>46158.416666666664</v>
      </c>
      <c r="C31" t="s">
        <v>5</v>
      </c>
      <c r="D31" t="s">
        <v>19</v>
      </c>
      <c r="E31" t="s">
        <v>61</v>
      </c>
      <c r="F31" t="s">
        <v>69</v>
      </c>
      <c r="G31">
        <v>3.28</v>
      </c>
      <c r="H31">
        <v>1.34</v>
      </c>
      <c r="I31" s="2">
        <v>46154.669942129629</v>
      </c>
    </row>
    <row r="32" spans="1:9" x14ac:dyDescent="0.25">
      <c r="A32">
        <v>129991103</v>
      </c>
      <c r="B32" s="2">
        <v>46158.416666666664</v>
      </c>
      <c r="C32" t="s">
        <v>5</v>
      </c>
      <c r="D32" t="s">
        <v>19</v>
      </c>
      <c r="E32" t="s">
        <v>62</v>
      </c>
      <c r="F32" t="s">
        <v>69</v>
      </c>
      <c r="G32">
        <v>3.7</v>
      </c>
      <c r="H32">
        <v>1.28</v>
      </c>
      <c r="I32" s="2">
        <v>46154.669803240744</v>
      </c>
    </row>
    <row r="33" spans="1:9" x14ac:dyDescent="0.25">
      <c r="A33">
        <v>129991103</v>
      </c>
      <c r="B33" s="2">
        <v>46158.416666666664</v>
      </c>
      <c r="C33" t="s">
        <v>5</v>
      </c>
      <c r="D33" t="s">
        <v>19</v>
      </c>
      <c r="E33" t="s">
        <v>72</v>
      </c>
      <c r="F33" t="s">
        <v>69</v>
      </c>
      <c r="G33">
        <v>3.55</v>
      </c>
      <c r="H33">
        <v>1.3</v>
      </c>
      <c r="I33" s="2">
        <v>46154.670092592591</v>
      </c>
    </row>
    <row r="34" spans="1:9" x14ac:dyDescent="0.25">
      <c r="A34">
        <v>129991103</v>
      </c>
      <c r="B34" s="2">
        <v>46158.416666666664</v>
      </c>
      <c r="C34" t="s">
        <v>5</v>
      </c>
      <c r="D34" t="s">
        <v>19</v>
      </c>
      <c r="E34" t="s">
        <v>73</v>
      </c>
      <c r="F34" t="s">
        <v>69</v>
      </c>
      <c r="G34">
        <v>3.55</v>
      </c>
      <c r="H34">
        <v>1.29</v>
      </c>
      <c r="I34" s="2">
        <v>46154.669629629629</v>
      </c>
    </row>
    <row r="35" spans="1:9" x14ac:dyDescent="0.25">
      <c r="A35">
        <v>129991104</v>
      </c>
      <c r="B35" s="2">
        <v>46158.416666666664</v>
      </c>
      <c r="C35" t="s">
        <v>10</v>
      </c>
      <c r="D35" t="s">
        <v>7</v>
      </c>
      <c r="E35" t="s">
        <v>63</v>
      </c>
      <c r="F35" t="s">
        <v>69</v>
      </c>
      <c r="G35">
        <v>1.19</v>
      </c>
      <c r="H35">
        <v>4.75</v>
      </c>
      <c r="I35" s="2">
        <v>46154.669942129629</v>
      </c>
    </row>
    <row r="36" spans="1:9" x14ac:dyDescent="0.25">
      <c r="A36">
        <v>129991104</v>
      </c>
      <c r="B36" s="2">
        <v>46158.416666666664</v>
      </c>
      <c r="C36" t="s">
        <v>10</v>
      </c>
      <c r="D36" t="s">
        <v>7</v>
      </c>
      <c r="E36" t="s">
        <v>64</v>
      </c>
      <c r="F36" t="s">
        <v>69</v>
      </c>
      <c r="G36">
        <v>1.05</v>
      </c>
      <c r="H36">
        <v>4.5999999999999996</v>
      </c>
      <c r="I36" s="2">
        <v>46154.669953703706</v>
      </c>
    </row>
    <row r="37" spans="1:9" x14ac:dyDescent="0.25">
      <c r="A37">
        <v>129991104</v>
      </c>
      <c r="B37" s="2">
        <v>46158.416666666664</v>
      </c>
      <c r="C37" t="s">
        <v>10</v>
      </c>
      <c r="D37" t="s">
        <v>7</v>
      </c>
      <c r="E37" t="s">
        <v>66</v>
      </c>
      <c r="F37" t="s">
        <v>69</v>
      </c>
      <c r="G37">
        <v>1.22</v>
      </c>
      <c r="H37">
        <v>4.3</v>
      </c>
      <c r="I37" s="2">
        <v>46154.669629629629</v>
      </c>
    </row>
    <row r="38" spans="1:9" x14ac:dyDescent="0.25">
      <c r="A38">
        <v>129991104</v>
      </c>
      <c r="B38" s="2">
        <v>46158.416666666664</v>
      </c>
      <c r="C38" t="s">
        <v>10</v>
      </c>
      <c r="D38" t="s">
        <v>7</v>
      </c>
      <c r="E38" t="s">
        <v>70</v>
      </c>
      <c r="F38" t="s">
        <v>69</v>
      </c>
      <c r="G38">
        <v>1.22</v>
      </c>
      <c r="H38">
        <v>4.25</v>
      </c>
      <c r="I38" s="2">
        <v>46154.669618055559</v>
      </c>
    </row>
    <row r="39" spans="1:9" x14ac:dyDescent="0.25">
      <c r="A39">
        <v>129991104</v>
      </c>
      <c r="B39" s="2">
        <v>46158.416666666664</v>
      </c>
      <c r="C39" t="s">
        <v>10</v>
      </c>
      <c r="D39" t="s">
        <v>7</v>
      </c>
      <c r="E39" t="s">
        <v>65</v>
      </c>
      <c r="F39" t="s">
        <v>69</v>
      </c>
      <c r="G39">
        <v>1.22</v>
      </c>
      <c r="H39">
        <v>4.25</v>
      </c>
      <c r="I39" s="2">
        <v>46154.669791666667</v>
      </c>
    </row>
    <row r="40" spans="1:9" x14ac:dyDescent="0.25">
      <c r="A40">
        <v>129991104</v>
      </c>
      <c r="B40" s="2">
        <v>46158.416666666664</v>
      </c>
      <c r="C40" t="s">
        <v>10</v>
      </c>
      <c r="D40" t="s">
        <v>7</v>
      </c>
      <c r="E40" t="s">
        <v>71</v>
      </c>
      <c r="F40" t="s">
        <v>69</v>
      </c>
      <c r="G40">
        <v>1.22</v>
      </c>
      <c r="H40">
        <v>4.0999999999999996</v>
      </c>
      <c r="I40" s="2">
        <v>46154.670104166667</v>
      </c>
    </row>
    <row r="41" spans="1:9" x14ac:dyDescent="0.25">
      <c r="A41">
        <v>129991104</v>
      </c>
      <c r="B41" s="2">
        <v>46158.416666666664</v>
      </c>
      <c r="C41" t="s">
        <v>10</v>
      </c>
      <c r="D41" t="s">
        <v>7</v>
      </c>
      <c r="E41" t="s">
        <v>67</v>
      </c>
      <c r="F41" t="s">
        <v>69</v>
      </c>
      <c r="G41">
        <v>1.24</v>
      </c>
      <c r="H41">
        <v>4</v>
      </c>
      <c r="I41" s="2">
        <v>46154.669942129629</v>
      </c>
    </row>
    <row r="42" spans="1:9" x14ac:dyDescent="0.25">
      <c r="A42">
        <v>129991104</v>
      </c>
      <c r="B42" s="2">
        <v>46158.416666666664</v>
      </c>
      <c r="C42" t="s">
        <v>10</v>
      </c>
      <c r="D42" t="s">
        <v>7</v>
      </c>
      <c r="E42" t="s">
        <v>61</v>
      </c>
      <c r="F42" t="s">
        <v>69</v>
      </c>
      <c r="G42">
        <v>1.24</v>
      </c>
      <c r="H42">
        <v>4.2</v>
      </c>
      <c r="I42" s="2">
        <v>46154.669942129629</v>
      </c>
    </row>
    <row r="43" spans="1:9" x14ac:dyDescent="0.25">
      <c r="A43">
        <v>129991104</v>
      </c>
      <c r="B43" s="2">
        <v>46158.416666666664</v>
      </c>
      <c r="C43" t="s">
        <v>10</v>
      </c>
      <c r="D43" t="s">
        <v>7</v>
      </c>
      <c r="E43" t="s">
        <v>62</v>
      </c>
      <c r="F43" t="s">
        <v>69</v>
      </c>
      <c r="G43">
        <v>1.23</v>
      </c>
      <c r="H43">
        <v>4.2</v>
      </c>
      <c r="I43" s="2">
        <v>46154.669803240744</v>
      </c>
    </row>
    <row r="44" spans="1:9" x14ac:dyDescent="0.25">
      <c r="A44">
        <v>129991104</v>
      </c>
      <c r="B44" s="2">
        <v>46158.416666666664</v>
      </c>
      <c r="C44" t="s">
        <v>10</v>
      </c>
      <c r="D44" t="s">
        <v>7</v>
      </c>
      <c r="E44" t="s">
        <v>72</v>
      </c>
      <c r="F44" t="s">
        <v>69</v>
      </c>
      <c r="G44">
        <v>1.22</v>
      </c>
      <c r="H44">
        <v>4.3499999999999996</v>
      </c>
      <c r="I44" s="2">
        <v>46154.670092592591</v>
      </c>
    </row>
    <row r="45" spans="1:9" x14ac:dyDescent="0.25">
      <c r="A45">
        <v>129991104</v>
      </c>
      <c r="B45" s="2">
        <v>46158.416666666664</v>
      </c>
      <c r="C45" t="s">
        <v>10</v>
      </c>
      <c r="D45" t="s">
        <v>7</v>
      </c>
      <c r="E45" t="s">
        <v>73</v>
      </c>
      <c r="F45" t="s">
        <v>69</v>
      </c>
      <c r="G45">
        <v>1.21</v>
      </c>
      <c r="H45">
        <v>4.3</v>
      </c>
      <c r="I45" s="2">
        <v>46154.669629629629</v>
      </c>
    </row>
    <row r="46" spans="1:9" x14ac:dyDescent="0.25">
      <c r="A46">
        <v>129991105</v>
      </c>
      <c r="B46" s="2">
        <v>46158.416666666664</v>
      </c>
      <c r="C46" t="s">
        <v>18</v>
      </c>
      <c r="D46" t="s">
        <v>15</v>
      </c>
      <c r="E46" t="s">
        <v>63</v>
      </c>
      <c r="F46" t="s">
        <v>69</v>
      </c>
      <c r="G46">
        <v>2.75</v>
      </c>
      <c r="H46">
        <v>1.45</v>
      </c>
      <c r="I46" s="2">
        <v>46154.669942129629</v>
      </c>
    </row>
    <row r="47" spans="1:9" x14ac:dyDescent="0.25">
      <c r="A47">
        <v>129991105</v>
      </c>
      <c r="B47" s="2">
        <v>46158.416666666664</v>
      </c>
      <c r="C47" t="s">
        <v>18</v>
      </c>
      <c r="D47" t="s">
        <v>15</v>
      </c>
      <c r="E47" t="s">
        <v>64</v>
      </c>
      <c r="F47" t="s">
        <v>69</v>
      </c>
      <c r="G47">
        <v>2.84</v>
      </c>
      <c r="H47">
        <v>1.34</v>
      </c>
      <c r="I47" s="2">
        <v>46154.669953703706</v>
      </c>
    </row>
    <row r="48" spans="1:9" x14ac:dyDescent="0.25">
      <c r="A48">
        <v>129991105</v>
      </c>
      <c r="B48" s="2">
        <v>46158.416666666664</v>
      </c>
      <c r="C48" t="s">
        <v>18</v>
      </c>
      <c r="D48" t="s">
        <v>15</v>
      </c>
      <c r="E48" t="s">
        <v>66</v>
      </c>
      <c r="F48" t="s">
        <v>69</v>
      </c>
      <c r="G48">
        <v>2.8</v>
      </c>
      <c r="H48">
        <v>1.44</v>
      </c>
      <c r="I48" s="2">
        <v>46154.669629629629</v>
      </c>
    </row>
    <row r="49" spans="1:9" x14ac:dyDescent="0.25">
      <c r="A49">
        <v>129991105</v>
      </c>
      <c r="B49" s="2">
        <v>46158.416666666664</v>
      </c>
      <c r="C49" t="s">
        <v>18</v>
      </c>
      <c r="D49" t="s">
        <v>15</v>
      </c>
      <c r="E49" t="s">
        <v>70</v>
      </c>
      <c r="F49" t="s">
        <v>69</v>
      </c>
      <c r="G49">
        <v>2.8</v>
      </c>
      <c r="H49">
        <v>1.44</v>
      </c>
      <c r="I49" s="2">
        <v>46154.669618055559</v>
      </c>
    </row>
    <row r="50" spans="1:9" x14ac:dyDescent="0.25">
      <c r="A50">
        <v>129991105</v>
      </c>
      <c r="B50" s="2">
        <v>46158.416666666664</v>
      </c>
      <c r="C50" t="s">
        <v>18</v>
      </c>
      <c r="D50" t="s">
        <v>15</v>
      </c>
      <c r="E50" t="s">
        <v>65</v>
      </c>
      <c r="F50" t="s">
        <v>69</v>
      </c>
      <c r="G50">
        <v>2.8</v>
      </c>
      <c r="H50">
        <v>1.44</v>
      </c>
      <c r="I50" s="2">
        <v>46154.669791666667</v>
      </c>
    </row>
    <row r="51" spans="1:9" x14ac:dyDescent="0.25">
      <c r="A51">
        <v>129991105</v>
      </c>
      <c r="B51" s="2">
        <v>46158.416666666664</v>
      </c>
      <c r="C51" t="s">
        <v>18</v>
      </c>
      <c r="D51" t="s">
        <v>15</v>
      </c>
      <c r="E51" t="s">
        <v>71</v>
      </c>
      <c r="F51" t="s">
        <v>69</v>
      </c>
      <c r="G51">
        <v>2.8</v>
      </c>
      <c r="H51">
        <v>1.42</v>
      </c>
      <c r="I51" s="2">
        <v>46154.670104166667</v>
      </c>
    </row>
    <row r="52" spans="1:9" x14ac:dyDescent="0.25">
      <c r="A52">
        <v>129991105</v>
      </c>
      <c r="B52" s="2">
        <v>46158.416666666664</v>
      </c>
      <c r="C52" t="s">
        <v>18</v>
      </c>
      <c r="D52" t="s">
        <v>15</v>
      </c>
      <c r="E52" t="s">
        <v>67</v>
      </c>
      <c r="F52" t="s">
        <v>69</v>
      </c>
      <c r="G52">
        <v>2.7</v>
      </c>
      <c r="H52">
        <v>1.45</v>
      </c>
      <c r="I52" s="2">
        <v>46154.669942129629</v>
      </c>
    </row>
    <row r="53" spans="1:9" x14ac:dyDescent="0.25">
      <c r="A53">
        <v>129991105</v>
      </c>
      <c r="B53" s="2">
        <v>46158.416666666664</v>
      </c>
      <c r="C53" t="s">
        <v>18</v>
      </c>
      <c r="D53" t="s">
        <v>15</v>
      </c>
      <c r="E53" t="s">
        <v>61</v>
      </c>
      <c r="F53" t="s">
        <v>69</v>
      </c>
      <c r="G53">
        <v>3.14</v>
      </c>
      <c r="H53">
        <v>1.37</v>
      </c>
      <c r="I53" s="2">
        <v>46154.669942129629</v>
      </c>
    </row>
    <row r="54" spans="1:9" x14ac:dyDescent="0.25">
      <c r="A54">
        <v>129991105</v>
      </c>
      <c r="B54" s="2">
        <v>46158.416666666664</v>
      </c>
      <c r="C54" t="s">
        <v>18</v>
      </c>
      <c r="D54" t="s">
        <v>15</v>
      </c>
      <c r="E54" t="s">
        <v>62</v>
      </c>
      <c r="F54" t="s">
        <v>69</v>
      </c>
      <c r="G54">
        <v>2.75</v>
      </c>
      <c r="H54">
        <v>1.45</v>
      </c>
      <c r="I54" s="2">
        <v>46154.669803240744</v>
      </c>
    </row>
    <row r="55" spans="1:9" x14ac:dyDescent="0.25">
      <c r="A55">
        <v>129991105</v>
      </c>
      <c r="B55" s="2">
        <v>46158.416666666664</v>
      </c>
      <c r="C55" t="s">
        <v>18</v>
      </c>
      <c r="D55" t="s">
        <v>15</v>
      </c>
      <c r="E55" t="s">
        <v>72</v>
      </c>
      <c r="F55" t="s">
        <v>69</v>
      </c>
      <c r="G55">
        <v>2.75</v>
      </c>
      <c r="H55">
        <v>1.45</v>
      </c>
      <c r="I55" s="2">
        <v>46154.670092592591</v>
      </c>
    </row>
    <row r="56" spans="1:9" x14ac:dyDescent="0.25">
      <c r="A56">
        <v>129991105</v>
      </c>
      <c r="B56" s="2">
        <v>46158.416666666664</v>
      </c>
      <c r="C56" t="s">
        <v>18</v>
      </c>
      <c r="D56" t="s">
        <v>15</v>
      </c>
      <c r="E56" t="s">
        <v>73</v>
      </c>
      <c r="F56" t="s">
        <v>69</v>
      </c>
      <c r="G56">
        <v>2.7</v>
      </c>
      <c r="H56">
        <v>1.45</v>
      </c>
      <c r="I56" s="2">
        <v>46154.669629629629</v>
      </c>
    </row>
    <row r="57" spans="1:9" x14ac:dyDescent="0.25">
      <c r="A57">
        <v>129991106</v>
      </c>
      <c r="B57" s="2">
        <v>46159.416666666664</v>
      </c>
      <c r="C57" t="s">
        <v>22</v>
      </c>
      <c r="D57" t="s">
        <v>17</v>
      </c>
      <c r="E57" t="s">
        <v>63</v>
      </c>
      <c r="F57" t="s">
        <v>69</v>
      </c>
      <c r="G57">
        <v>3.35</v>
      </c>
      <c r="H57">
        <v>1.33</v>
      </c>
      <c r="I57" s="2">
        <v>46154.669942129629</v>
      </c>
    </row>
    <row r="58" spans="1:9" x14ac:dyDescent="0.25">
      <c r="A58">
        <v>129991106</v>
      </c>
      <c r="B58" s="2">
        <v>46159.416666666664</v>
      </c>
      <c r="C58" t="s">
        <v>22</v>
      </c>
      <c r="D58" t="s">
        <v>17</v>
      </c>
      <c r="E58" t="s">
        <v>64</v>
      </c>
      <c r="F58" t="s">
        <v>69</v>
      </c>
      <c r="G58">
        <v>3.65</v>
      </c>
      <c r="H58">
        <v>1.04</v>
      </c>
      <c r="I58" s="2">
        <v>46154.669953703706</v>
      </c>
    </row>
    <row r="59" spans="1:9" x14ac:dyDescent="0.25">
      <c r="A59">
        <v>129991106</v>
      </c>
      <c r="B59" s="2">
        <v>46159.416666666664</v>
      </c>
      <c r="C59" t="s">
        <v>22</v>
      </c>
      <c r="D59" t="s">
        <v>17</v>
      </c>
      <c r="E59" t="s">
        <v>66</v>
      </c>
      <c r="F59" t="s">
        <v>69</v>
      </c>
      <c r="G59">
        <v>3.4</v>
      </c>
      <c r="H59">
        <v>1.32</v>
      </c>
      <c r="I59" s="2">
        <v>46154.669629629629</v>
      </c>
    </row>
    <row r="60" spans="1:9" x14ac:dyDescent="0.25">
      <c r="A60">
        <v>129991106</v>
      </c>
      <c r="B60" s="2">
        <v>46159.416666666664</v>
      </c>
      <c r="C60" t="s">
        <v>22</v>
      </c>
      <c r="D60" t="s">
        <v>17</v>
      </c>
      <c r="E60" t="s">
        <v>70</v>
      </c>
      <c r="F60" t="s">
        <v>69</v>
      </c>
      <c r="G60">
        <v>3.35</v>
      </c>
      <c r="H60">
        <v>1.33</v>
      </c>
      <c r="I60" s="2">
        <v>46154.669618055559</v>
      </c>
    </row>
    <row r="61" spans="1:9" x14ac:dyDescent="0.25">
      <c r="A61">
        <v>129991106</v>
      </c>
      <c r="B61" s="2">
        <v>46159.416666666664</v>
      </c>
      <c r="C61" t="s">
        <v>22</v>
      </c>
      <c r="D61" t="s">
        <v>17</v>
      </c>
      <c r="E61" t="s">
        <v>65</v>
      </c>
      <c r="F61" t="s">
        <v>69</v>
      </c>
      <c r="G61">
        <v>3.35</v>
      </c>
      <c r="H61">
        <v>1.33</v>
      </c>
      <c r="I61" s="2">
        <v>46154.669791666667</v>
      </c>
    </row>
    <row r="62" spans="1:9" x14ac:dyDescent="0.25">
      <c r="A62">
        <v>129991106</v>
      </c>
      <c r="B62" s="2">
        <v>46159.416666666664</v>
      </c>
      <c r="C62" t="s">
        <v>22</v>
      </c>
      <c r="D62" t="s">
        <v>17</v>
      </c>
      <c r="E62" t="s">
        <v>71</v>
      </c>
      <c r="F62" t="s">
        <v>69</v>
      </c>
      <c r="G62">
        <v>3.4</v>
      </c>
      <c r="H62">
        <v>1.3</v>
      </c>
      <c r="I62" s="2">
        <v>46154.670104166667</v>
      </c>
    </row>
    <row r="63" spans="1:9" x14ac:dyDescent="0.25">
      <c r="A63">
        <v>129991106</v>
      </c>
      <c r="B63" s="2">
        <v>46159.416666666664</v>
      </c>
      <c r="C63" t="s">
        <v>22</v>
      </c>
      <c r="D63" t="s">
        <v>17</v>
      </c>
      <c r="E63" t="s">
        <v>67</v>
      </c>
      <c r="F63" t="s">
        <v>69</v>
      </c>
      <c r="G63">
        <v>3.45</v>
      </c>
      <c r="H63">
        <v>1.3</v>
      </c>
      <c r="I63" s="2">
        <v>46154.669942129629</v>
      </c>
    </row>
    <row r="64" spans="1:9" x14ac:dyDescent="0.25">
      <c r="A64">
        <v>129991106</v>
      </c>
      <c r="B64" s="2">
        <v>46159.416666666664</v>
      </c>
      <c r="C64" t="s">
        <v>22</v>
      </c>
      <c r="D64" t="s">
        <v>17</v>
      </c>
      <c r="E64" t="s">
        <v>61</v>
      </c>
      <c r="F64" t="s">
        <v>69</v>
      </c>
      <c r="G64">
        <v>3.5</v>
      </c>
      <c r="H64">
        <v>1.31</v>
      </c>
      <c r="I64" s="2">
        <v>46154.669942129629</v>
      </c>
    </row>
    <row r="65" spans="1:9" x14ac:dyDescent="0.25">
      <c r="A65">
        <v>129991106</v>
      </c>
      <c r="B65" s="2">
        <v>46159.416666666664</v>
      </c>
      <c r="C65" t="s">
        <v>22</v>
      </c>
      <c r="D65" t="s">
        <v>17</v>
      </c>
      <c r="E65" t="s">
        <v>62</v>
      </c>
      <c r="F65" t="s">
        <v>69</v>
      </c>
      <c r="G65">
        <v>3.4</v>
      </c>
      <c r="H65">
        <v>1.32</v>
      </c>
      <c r="I65" s="2">
        <v>46154.669803240744</v>
      </c>
    </row>
    <row r="66" spans="1:9" x14ac:dyDescent="0.25">
      <c r="A66">
        <v>129991106</v>
      </c>
      <c r="B66" s="2">
        <v>46159.416666666664</v>
      </c>
      <c r="C66" t="s">
        <v>22</v>
      </c>
      <c r="D66" t="s">
        <v>17</v>
      </c>
      <c r="E66" t="s">
        <v>72</v>
      </c>
      <c r="F66" t="s">
        <v>69</v>
      </c>
      <c r="G66">
        <v>3.4</v>
      </c>
      <c r="H66">
        <v>1.32</v>
      </c>
      <c r="I66" s="2">
        <v>46154.670092592591</v>
      </c>
    </row>
    <row r="67" spans="1:9" x14ac:dyDescent="0.25">
      <c r="A67">
        <v>129991106</v>
      </c>
      <c r="B67" s="2">
        <v>46159.416666666664</v>
      </c>
      <c r="C67" t="s">
        <v>22</v>
      </c>
      <c r="D67" t="s">
        <v>17</v>
      </c>
      <c r="E67" t="s">
        <v>73</v>
      </c>
      <c r="F67" t="s">
        <v>69</v>
      </c>
      <c r="G67">
        <v>3.35</v>
      </c>
      <c r="H67">
        <v>1.32</v>
      </c>
      <c r="I67" s="2">
        <v>46154.669629629629</v>
      </c>
    </row>
    <row r="68" spans="1:9" x14ac:dyDescent="0.25">
      <c r="A68">
        <v>129991107</v>
      </c>
      <c r="B68" s="2">
        <v>46159.416666666664</v>
      </c>
      <c r="C68" t="s">
        <v>13</v>
      </c>
      <c r="D68" t="s">
        <v>9</v>
      </c>
      <c r="E68" t="s">
        <v>63</v>
      </c>
      <c r="F68" t="s">
        <v>69</v>
      </c>
      <c r="G68">
        <v>1.71</v>
      </c>
      <c r="H68">
        <v>2.14</v>
      </c>
      <c r="I68" s="2">
        <v>46154.669942129629</v>
      </c>
    </row>
    <row r="69" spans="1:9" x14ac:dyDescent="0.25">
      <c r="A69">
        <v>129991107</v>
      </c>
      <c r="B69" s="2">
        <v>46159.416666666664</v>
      </c>
      <c r="C69" t="s">
        <v>13</v>
      </c>
      <c r="D69" t="s">
        <v>9</v>
      </c>
      <c r="E69" t="s">
        <v>64</v>
      </c>
      <c r="F69" t="s">
        <v>69</v>
      </c>
      <c r="G69">
        <v>1.68</v>
      </c>
      <c r="H69">
        <v>2.3199999999999998</v>
      </c>
      <c r="I69" s="2">
        <v>46154.669953703706</v>
      </c>
    </row>
    <row r="70" spans="1:9" x14ac:dyDescent="0.25">
      <c r="A70">
        <v>129991107</v>
      </c>
      <c r="B70" s="2">
        <v>46159.416666666664</v>
      </c>
      <c r="C70" t="s">
        <v>13</v>
      </c>
      <c r="D70" t="s">
        <v>9</v>
      </c>
      <c r="E70" t="s">
        <v>66</v>
      </c>
      <c r="F70" t="s">
        <v>69</v>
      </c>
      <c r="G70">
        <v>1.7</v>
      </c>
      <c r="H70">
        <v>2.15</v>
      </c>
      <c r="I70" s="2">
        <v>46154.669629629629</v>
      </c>
    </row>
    <row r="71" spans="1:9" x14ac:dyDescent="0.25">
      <c r="A71">
        <v>129991107</v>
      </c>
      <c r="B71" s="2">
        <v>46159.416666666664</v>
      </c>
      <c r="C71" t="s">
        <v>13</v>
      </c>
      <c r="D71" t="s">
        <v>9</v>
      </c>
      <c r="E71" t="s">
        <v>70</v>
      </c>
      <c r="F71" t="s">
        <v>69</v>
      </c>
      <c r="G71">
        <v>1.7</v>
      </c>
      <c r="H71">
        <v>2.15</v>
      </c>
      <c r="I71" s="2">
        <v>46154.669618055559</v>
      </c>
    </row>
    <row r="72" spans="1:9" x14ac:dyDescent="0.25">
      <c r="A72">
        <v>129991107</v>
      </c>
      <c r="B72" s="2">
        <v>46159.416666666664</v>
      </c>
      <c r="C72" t="s">
        <v>13</v>
      </c>
      <c r="D72" t="s">
        <v>9</v>
      </c>
      <c r="E72" t="s">
        <v>65</v>
      </c>
      <c r="F72" t="s">
        <v>69</v>
      </c>
      <c r="G72">
        <v>1.7</v>
      </c>
      <c r="H72">
        <v>2.15</v>
      </c>
      <c r="I72" s="2">
        <v>46154.669791666667</v>
      </c>
    </row>
    <row r="73" spans="1:9" x14ac:dyDescent="0.25">
      <c r="A73">
        <v>129991107</v>
      </c>
      <c r="B73" s="2">
        <v>46159.416666666664</v>
      </c>
      <c r="C73" t="s">
        <v>13</v>
      </c>
      <c r="D73" t="s">
        <v>9</v>
      </c>
      <c r="E73" t="s">
        <v>71</v>
      </c>
      <c r="F73" t="s">
        <v>69</v>
      </c>
      <c r="G73">
        <v>1.65</v>
      </c>
      <c r="H73">
        <v>2.2000000000000002</v>
      </c>
      <c r="I73" s="2">
        <v>46154.670104166667</v>
      </c>
    </row>
    <row r="74" spans="1:9" x14ac:dyDescent="0.25">
      <c r="A74">
        <v>129991107</v>
      </c>
      <c r="B74" s="2">
        <v>46159.416666666664</v>
      </c>
      <c r="C74" t="s">
        <v>13</v>
      </c>
      <c r="D74" t="s">
        <v>9</v>
      </c>
      <c r="E74" t="s">
        <v>67</v>
      </c>
      <c r="F74" t="s">
        <v>69</v>
      </c>
      <c r="G74">
        <v>1.73</v>
      </c>
      <c r="H74">
        <v>2.1</v>
      </c>
      <c r="I74" s="2">
        <v>46154.669942129629</v>
      </c>
    </row>
    <row r="75" spans="1:9" x14ac:dyDescent="0.25">
      <c r="A75">
        <v>129991107</v>
      </c>
      <c r="B75" s="2">
        <v>46159.416666666664</v>
      </c>
      <c r="C75" t="s">
        <v>13</v>
      </c>
      <c r="D75" t="s">
        <v>9</v>
      </c>
      <c r="E75" t="s">
        <v>61</v>
      </c>
      <c r="F75" t="s">
        <v>69</v>
      </c>
      <c r="G75">
        <v>1.71</v>
      </c>
      <c r="H75">
        <v>2.14</v>
      </c>
      <c r="I75" s="2">
        <v>46154.669942129629</v>
      </c>
    </row>
    <row r="76" spans="1:9" x14ac:dyDescent="0.25">
      <c r="A76">
        <v>129991107</v>
      </c>
      <c r="B76" s="2">
        <v>46159.416666666664</v>
      </c>
      <c r="C76" t="s">
        <v>13</v>
      </c>
      <c r="D76" t="s">
        <v>9</v>
      </c>
      <c r="E76" t="s">
        <v>62</v>
      </c>
      <c r="F76" t="s">
        <v>69</v>
      </c>
      <c r="G76">
        <v>1.67</v>
      </c>
      <c r="H76">
        <v>2.2000000000000002</v>
      </c>
      <c r="I76" s="2">
        <v>46154.669803240744</v>
      </c>
    </row>
    <row r="77" spans="1:9" x14ac:dyDescent="0.25">
      <c r="A77">
        <v>129991107</v>
      </c>
      <c r="B77" s="2">
        <v>46159.416666666664</v>
      </c>
      <c r="C77" t="s">
        <v>13</v>
      </c>
      <c r="D77" t="s">
        <v>9</v>
      </c>
      <c r="E77" t="s">
        <v>72</v>
      </c>
      <c r="F77" t="s">
        <v>69</v>
      </c>
      <c r="G77">
        <v>1.68</v>
      </c>
      <c r="H77">
        <v>2.2000000000000002</v>
      </c>
      <c r="I77" s="2">
        <v>46154.670092592591</v>
      </c>
    </row>
    <row r="78" spans="1:9" x14ac:dyDescent="0.25">
      <c r="A78">
        <v>129991107</v>
      </c>
      <c r="B78" s="2">
        <v>46159.416666666664</v>
      </c>
      <c r="C78" t="s">
        <v>13</v>
      </c>
      <c r="D78" t="s">
        <v>9</v>
      </c>
      <c r="E78" t="s">
        <v>73</v>
      </c>
      <c r="F78" t="s">
        <v>69</v>
      </c>
      <c r="G78">
        <v>1.67</v>
      </c>
      <c r="H78">
        <v>2.1800000000000002</v>
      </c>
      <c r="I78" s="2">
        <v>46154.669629629629</v>
      </c>
    </row>
    <row r="79" spans="1:9" x14ac:dyDescent="0.25">
      <c r="A79">
        <v>129991108</v>
      </c>
      <c r="B79" s="2">
        <v>46159.416666666664</v>
      </c>
      <c r="C79" t="s">
        <v>16</v>
      </c>
      <c r="D79" t="s">
        <v>11</v>
      </c>
      <c r="E79" t="s">
        <v>63</v>
      </c>
      <c r="F79" t="s">
        <v>69</v>
      </c>
      <c r="G79">
        <v>1.04</v>
      </c>
      <c r="H79">
        <v>10</v>
      </c>
      <c r="I79" s="2">
        <v>46154.669942129629</v>
      </c>
    </row>
    <row r="80" spans="1:9" x14ac:dyDescent="0.25">
      <c r="A80">
        <v>129991108</v>
      </c>
      <c r="B80" s="2">
        <v>46159.416666666664</v>
      </c>
      <c r="C80" t="s">
        <v>16</v>
      </c>
      <c r="D80" t="s">
        <v>11</v>
      </c>
      <c r="E80" t="s">
        <v>64</v>
      </c>
      <c r="F80" t="s">
        <v>69</v>
      </c>
      <c r="G80">
        <v>1.06</v>
      </c>
      <c r="H80">
        <v>14.5</v>
      </c>
      <c r="I80" s="2">
        <v>46154.669953703706</v>
      </c>
    </row>
    <row r="81" spans="1:9" x14ac:dyDescent="0.25">
      <c r="A81">
        <v>129991108</v>
      </c>
      <c r="B81" s="2">
        <v>46159.416666666664</v>
      </c>
      <c r="C81" t="s">
        <v>16</v>
      </c>
      <c r="D81" t="s">
        <v>11</v>
      </c>
      <c r="E81" t="s">
        <v>66</v>
      </c>
      <c r="F81" t="s">
        <v>69</v>
      </c>
      <c r="G81">
        <v>1.03</v>
      </c>
      <c r="H81">
        <v>13</v>
      </c>
      <c r="I81" s="2">
        <v>46154.669629629629</v>
      </c>
    </row>
    <row r="82" spans="1:9" x14ac:dyDescent="0.25">
      <c r="A82">
        <v>129991108</v>
      </c>
      <c r="B82" s="2">
        <v>46159.416666666664</v>
      </c>
      <c r="C82" t="s">
        <v>16</v>
      </c>
      <c r="D82" t="s">
        <v>11</v>
      </c>
      <c r="E82" t="s">
        <v>70</v>
      </c>
      <c r="F82" t="s">
        <v>69</v>
      </c>
      <c r="G82">
        <v>1.05</v>
      </c>
      <c r="H82">
        <v>10.5</v>
      </c>
      <c r="I82" s="2">
        <v>46154.669618055559</v>
      </c>
    </row>
    <row r="83" spans="1:9" x14ac:dyDescent="0.25">
      <c r="A83">
        <v>129991108</v>
      </c>
      <c r="B83" s="2">
        <v>46159.416666666664</v>
      </c>
      <c r="C83" t="s">
        <v>16</v>
      </c>
      <c r="D83" t="s">
        <v>11</v>
      </c>
      <c r="E83" t="s">
        <v>65</v>
      </c>
      <c r="F83" t="s">
        <v>69</v>
      </c>
      <c r="G83">
        <v>1.05</v>
      </c>
      <c r="H83">
        <v>10.5</v>
      </c>
      <c r="I83" s="2">
        <v>46154.669791666667</v>
      </c>
    </row>
    <row r="84" spans="1:9" x14ac:dyDescent="0.25">
      <c r="A84">
        <v>129991108</v>
      </c>
      <c r="B84" s="2">
        <v>46159.416666666664</v>
      </c>
      <c r="C84" t="s">
        <v>16</v>
      </c>
      <c r="D84" t="s">
        <v>11</v>
      </c>
      <c r="E84" t="s">
        <v>71</v>
      </c>
      <c r="F84" t="s">
        <v>69</v>
      </c>
      <c r="G84">
        <v>1.03</v>
      </c>
      <c r="H84">
        <v>11</v>
      </c>
      <c r="I84" s="2">
        <v>46154.670104166667</v>
      </c>
    </row>
    <row r="85" spans="1:9" x14ac:dyDescent="0.25">
      <c r="A85">
        <v>129991108</v>
      </c>
      <c r="B85" s="2">
        <v>46159.416666666664</v>
      </c>
      <c r="C85" t="s">
        <v>16</v>
      </c>
      <c r="D85" t="s">
        <v>11</v>
      </c>
      <c r="E85" t="s">
        <v>67</v>
      </c>
      <c r="F85" t="s">
        <v>69</v>
      </c>
      <c r="G85">
        <v>1.03</v>
      </c>
      <c r="H85">
        <v>11</v>
      </c>
      <c r="I85" s="2">
        <v>46154.669942129629</v>
      </c>
    </row>
    <row r="86" spans="1:9" x14ac:dyDescent="0.25">
      <c r="A86">
        <v>129991108</v>
      </c>
      <c r="B86" s="2">
        <v>46159.416666666664</v>
      </c>
      <c r="C86" t="s">
        <v>16</v>
      </c>
      <c r="D86" t="s">
        <v>11</v>
      </c>
      <c r="E86" t="s">
        <v>61</v>
      </c>
      <c r="F86" t="s">
        <v>69</v>
      </c>
      <c r="G86">
        <v>1.04</v>
      </c>
      <c r="H86">
        <v>11</v>
      </c>
      <c r="I86" s="2">
        <v>46154.669942129629</v>
      </c>
    </row>
    <row r="87" spans="1:9" x14ac:dyDescent="0.25">
      <c r="A87">
        <v>129991108</v>
      </c>
      <c r="B87" s="2">
        <v>46159.416666666664</v>
      </c>
      <c r="C87" t="s">
        <v>16</v>
      </c>
      <c r="D87" t="s">
        <v>11</v>
      </c>
      <c r="E87" t="s">
        <v>62</v>
      </c>
      <c r="F87" t="s">
        <v>69</v>
      </c>
      <c r="G87">
        <v>1.05</v>
      </c>
      <c r="H87">
        <v>10</v>
      </c>
      <c r="I87" s="2">
        <v>46154.669803240744</v>
      </c>
    </row>
    <row r="88" spans="1:9" x14ac:dyDescent="0.25">
      <c r="A88">
        <v>129991108</v>
      </c>
      <c r="B88" s="2">
        <v>46159.416666666664</v>
      </c>
      <c r="C88" t="s">
        <v>16</v>
      </c>
      <c r="D88" t="s">
        <v>11</v>
      </c>
      <c r="E88" t="s">
        <v>72</v>
      </c>
      <c r="F88" t="s">
        <v>69</v>
      </c>
      <c r="G88">
        <v>1.04</v>
      </c>
      <c r="H88">
        <v>11</v>
      </c>
      <c r="I88" s="2">
        <v>46154.670092592591</v>
      </c>
    </row>
    <row r="89" spans="1:9" x14ac:dyDescent="0.25">
      <c r="A89">
        <v>129991108</v>
      </c>
      <c r="B89" s="2">
        <v>46159.416666666664</v>
      </c>
      <c r="C89" t="s">
        <v>16</v>
      </c>
      <c r="D89" t="s">
        <v>11</v>
      </c>
      <c r="E89" t="s">
        <v>73</v>
      </c>
      <c r="F89" t="s">
        <v>69</v>
      </c>
      <c r="G89">
        <v>1.04</v>
      </c>
      <c r="H89">
        <v>11</v>
      </c>
      <c r="I89" s="2">
        <v>46154.669629629629</v>
      </c>
    </row>
    <row r="90" spans="1:9" x14ac:dyDescent="0.25">
      <c r="A90">
        <v>129991201</v>
      </c>
      <c r="B90" s="2">
        <v>46163.416666666664</v>
      </c>
      <c r="C90" t="s">
        <v>4</v>
      </c>
      <c r="D90" t="s">
        <v>12</v>
      </c>
      <c r="E90" t="s">
        <v>63</v>
      </c>
      <c r="F90" t="s">
        <v>69</v>
      </c>
      <c r="G90">
        <v>1.95</v>
      </c>
      <c r="H90">
        <v>1.85</v>
      </c>
      <c r="I90" s="2">
        <v>46161.678819444445</v>
      </c>
    </row>
    <row r="91" spans="1:9" x14ac:dyDescent="0.25">
      <c r="A91">
        <v>129991201</v>
      </c>
      <c r="B91" s="2">
        <v>46163.416666666664</v>
      </c>
      <c r="C91" t="s">
        <v>4</v>
      </c>
      <c r="D91" t="s">
        <v>12</v>
      </c>
      <c r="E91" t="s">
        <v>64</v>
      </c>
      <c r="F91" t="s">
        <v>69</v>
      </c>
      <c r="G91">
        <v>1.9</v>
      </c>
      <c r="H91">
        <v>1.79</v>
      </c>
      <c r="I91" s="2">
        <v>46161.678819444445</v>
      </c>
    </row>
    <row r="92" spans="1:9" x14ac:dyDescent="0.25">
      <c r="A92">
        <v>129991201</v>
      </c>
      <c r="B92" s="2">
        <v>46163.416666666664</v>
      </c>
      <c r="C92" t="s">
        <v>4</v>
      </c>
      <c r="D92" t="s">
        <v>12</v>
      </c>
      <c r="E92" t="s">
        <v>66</v>
      </c>
      <c r="F92" t="s">
        <v>69</v>
      </c>
      <c r="G92">
        <v>1.95</v>
      </c>
      <c r="H92">
        <v>1.85</v>
      </c>
      <c r="I92" s="2">
        <v>46161.678599537037</v>
      </c>
    </row>
    <row r="93" spans="1:9" x14ac:dyDescent="0.25">
      <c r="A93">
        <v>129991201</v>
      </c>
      <c r="B93" s="2">
        <v>46163.416666666664</v>
      </c>
      <c r="C93" t="s">
        <v>4</v>
      </c>
      <c r="D93" t="s">
        <v>12</v>
      </c>
      <c r="E93" t="s">
        <v>70</v>
      </c>
      <c r="F93" t="s">
        <v>69</v>
      </c>
      <c r="G93">
        <v>1.95</v>
      </c>
      <c r="H93">
        <v>1.87</v>
      </c>
      <c r="I93" s="2">
        <v>46161.678379629629</v>
      </c>
    </row>
    <row r="94" spans="1:9" x14ac:dyDescent="0.25">
      <c r="A94">
        <v>129991201</v>
      </c>
      <c r="B94" s="2">
        <v>46163.416666666664</v>
      </c>
      <c r="C94" t="s">
        <v>4</v>
      </c>
      <c r="D94" t="s">
        <v>12</v>
      </c>
      <c r="E94" t="s">
        <v>65</v>
      </c>
      <c r="F94" t="s">
        <v>69</v>
      </c>
      <c r="G94">
        <v>1.95</v>
      </c>
      <c r="H94">
        <v>1.87</v>
      </c>
      <c r="I94" s="2">
        <v>46161.678819444445</v>
      </c>
    </row>
    <row r="95" spans="1:9" x14ac:dyDescent="0.25">
      <c r="A95">
        <v>129991201</v>
      </c>
      <c r="B95" s="2">
        <v>46163.416666666664</v>
      </c>
      <c r="C95" t="s">
        <v>4</v>
      </c>
      <c r="D95" t="s">
        <v>12</v>
      </c>
      <c r="E95" t="s">
        <v>71</v>
      </c>
      <c r="F95" t="s">
        <v>69</v>
      </c>
      <c r="G95">
        <v>1.88</v>
      </c>
      <c r="H95">
        <v>1.88</v>
      </c>
      <c r="I95" s="2">
        <v>46161.678379629629</v>
      </c>
    </row>
    <row r="96" spans="1:9" x14ac:dyDescent="0.25">
      <c r="A96">
        <v>129991201</v>
      </c>
      <c r="B96" s="2">
        <v>46163.416666666664</v>
      </c>
      <c r="C96" t="s">
        <v>4</v>
      </c>
      <c r="D96" t="s">
        <v>12</v>
      </c>
      <c r="E96" t="s">
        <v>67</v>
      </c>
      <c r="F96" t="s">
        <v>69</v>
      </c>
      <c r="G96">
        <v>1.95</v>
      </c>
      <c r="H96">
        <v>1.85</v>
      </c>
      <c r="I96" s="2">
        <v>46161.678599537037</v>
      </c>
    </row>
    <row r="97" spans="1:9" x14ac:dyDescent="0.25">
      <c r="A97">
        <v>129991201</v>
      </c>
      <c r="B97" s="2">
        <v>46163.416666666664</v>
      </c>
      <c r="C97" t="s">
        <v>4</v>
      </c>
      <c r="D97" t="s">
        <v>12</v>
      </c>
      <c r="E97" t="s">
        <v>61</v>
      </c>
      <c r="F97" t="s">
        <v>69</v>
      </c>
      <c r="G97">
        <v>1.95</v>
      </c>
      <c r="H97">
        <v>1.89</v>
      </c>
      <c r="I97" s="2">
        <v>46161.678831018522</v>
      </c>
    </row>
    <row r="98" spans="1:9" x14ac:dyDescent="0.25">
      <c r="A98">
        <v>129991201</v>
      </c>
      <c r="B98" s="2">
        <v>46163.416666666664</v>
      </c>
      <c r="C98" t="s">
        <v>4</v>
      </c>
      <c r="D98" t="s">
        <v>12</v>
      </c>
      <c r="E98" t="s">
        <v>62</v>
      </c>
      <c r="F98" t="s">
        <v>69</v>
      </c>
      <c r="G98">
        <v>1.9</v>
      </c>
      <c r="H98">
        <v>1.9</v>
      </c>
      <c r="I98" s="2">
        <v>46161.678599537037</v>
      </c>
    </row>
    <row r="99" spans="1:9" x14ac:dyDescent="0.25">
      <c r="A99">
        <v>129991201</v>
      </c>
      <c r="B99" s="2">
        <v>46163.416666666664</v>
      </c>
      <c r="C99" t="s">
        <v>4</v>
      </c>
      <c r="D99" t="s">
        <v>12</v>
      </c>
      <c r="E99" t="s">
        <v>72</v>
      </c>
      <c r="F99" t="s">
        <v>69</v>
      </c>
      <c r="G99">
        <v>1.95</v>
      </c>
      <c r="H99">
        <v>1.85</v>
      </c>
      <c r="I99" s="2">
        <v>46161.678379629629</v>
      </c>
    </row>
    <row r="100" spans="1:9" x14ac:dyDescent="0.25">
      <c r="A100">
        <v>129991201</v>
      </c>
      <c r="B100" s="2">
        <v>46163.416666666664</v>
      </c>
      <c r="C100" t="s">
        <v>4</v>
      </c>
      <c r="D100" t="s">
        <v>12</v>
      </c>
      <c r="E100" t="s">
        <v>73</v>
      </c>
      <c r="F100" t="s">
        <v>69</v>
      </c>
      <c r="G100">
        <v>1.95</v>
      </c>
      <c r="H100">
        <v>1.83</v>
      </c>
      <c r="I100" s="2">
        <v>46161.678611111114</v>
      </c>
    </row>
    <row r="101" spans="1:9" x14ac:dyDescent="0.25">
      <c r="A101">
        <v>129991202</v>
      </c>
      <c r="B101" s="2">
        <v>46164.416666666664</v>
      </c>
      <c r="C101" t="s">
        <v>8</v>
      </c>
      <c r="D101" t="s">
        <v>15</v>
      </c>
      <c r="E101" t="s">
        <v>63</v>
      </c>
      <c r="F101" t="s">
        <v>69</v>
      </c>
      <c r="G101">
        <v>1.78</v>
      </c>
      <c r="H101">
        <v>2.04</v>
      </c>
      <c r="I101" s="2">
        <v>46161.678819444445</v>
      </c>
    </row>
    <row r="102" spans="1:9" x14ac:dyDescent="0.25">
      <c r="A102">
        <v>129991202</v>
      </c>
      <c r="B102" s="2">
        <v>46164.416666666664</v>
      </c>
      <c r="C102" t="s">
        <v>8</v>
      </c>
      <c r="D102" t="s">
        <v>15</v>
      </c>
      <c r="E102" t="s">
        <v>64</v>
      </c>
      <c r="F102" t="s">
        <v>69</v>
      </c>
      <c r="G102">
        <v>1.89</v>
      </c>
      <c r="H102">
        <v>1.84</v>
      </c>
      <c r="I102" s="2">
        <v>46161.678819444445</v>
      </c>
    </row>
    <row r="103" spans="1:9" x14ac:dyDescent="0.25">
      <c r="A103">
        <v>129991202</v>
      </c>
      <c r="B103" s="2">
        <v>46164.416666666664</v>
      </c>
      <c r="C103" t="s">
        <v>8</v>
      </c>
      <c r="D103" t="s">
        <v>15</v>
      </c>
      <c r="E103" t="s">
        <v>66</v>
      </c>
      <c r="F103" t="s">
        <v>69</v>
      </c>
      <c r="G103">
        <v>1.72</v>
      </c>
      <c r="H103">
        <v>2.12</v>
      </c>
      <c r="I103" s="2">
        <v>46161.678599537037</v>
      </c>
    </row>
    <row r="104" spans="1:9" x14ac:dyDescent="0.25">
      <c r="A104">
        <v>129991202</v>
      </c>
      <c r="B104" s="2">
        <v>46164.416666666664</v>
      </c>
      <c r="C104" t="s">
        <v>8</v>
      </c>
      <c r="D104" t="s">
        <v>15</v>
      </c>
      <c r="E104" t="s">
        <v>70</v>
      </c>
      <c r="F104" t="s">
        <v>69</v>
      </c>
      <c r="G104">
        <v>1.78</v>
      </c>
      <c r="H104">
        <v>2.0499999999999998</v>
      </c>
      <c r="I104" s="2">
        <v>46161.678379629629</v>
      </c>
    </row>
    <row r="105" spans="1:9" x14ac:dyDescent="0.25">
      <c r="A105">
        <v>129991202</v>
      </c>
      <c r="B105" s="2">
        <v>46164.416666666664</v>
      </c>
      <c r="C105" t="s">
        <v>8</v>
      </c>
      <c r="D105" t="s">
        <v>15</v>
      </c>
      <c r="E105" t="s">
        <v>65</v>
      </c>
      <c r="F105" t="s">
        <v>69</v>
      </c>
      <c r="G105">
        <v>1.78</v>
      </c>
      <c r="H105">
        <v>2.0499999999999998</v>
      </c>
      <c r="I105" s="2">
        <v>46161.678819444445</v>
      </c>
    </row>
    <row r="106" spans="1:9" x14ac:dyDescent="0.25">
      <c r="A106">
        <v>129991202</v>
      </c>
      <c r="B106" s="2">
        <v>46164.416666666664</v>
      </c>
      <c r="C106" t="s">
        <v>8</v>
      </c>
      <c r="D106" t="s">
        <v>15</v>
      </c>
      <c r="E106" t="s">
        <v>71</v>
      </c>
      <c r="F106" t="s">
        <v>69</v>
      </c>
      <c r="G106">
        <v>1.74</v>
      </c>
      <c r="H106">
        <v>2.0499999999999998</v>
      </c>
      <c r="I106" s="2">
        <v>46161.678379629629</v>
      </c>
    </row>
    <row r="107" spans="1:9" x14ac:dyDescent="0.25">
      <c r="A107">
        <v>129991202</v>
      </c>
      <c r="B107" s="2">
        <v>46164.416666666664</v>
      </c>
      <c r="C107" t="s">
        <v>8</v>
      </c>
      <c r="D107" t="s">
        <v>15</v>
      </c>
      <c r="E107" t="s">
        <v>67</v>
      </c>
      <c r="F107" t="s">
        <v>69</v>
      </c>
      <c r="G107">
        <v>1.77</v>
      </c>
      <c r="H107">
        <v>2.0499999999999998</v>
      </c>
      <c r="I107" s="2">
        <v>46161.678599537037</v>
      </c>
    </row>
    <row r="108" spans="1:9" x14ac:dyDescent="0.25">
      <c r="A108">
        <v>129991202</v>
      </c>
      <c r="B108" s="2">
        <v>46164.416666666664</v>
      </c>
      <c r="C108" t="s">
        <v>8</v>
      </c>
      <c r="D108" t="s">
        <v>15</v>
      </c>
      <c r="E108" t="s">
        <v>61</v>
      </c>
      <c r="F108" t="s">
        <v>69</v>
      </c>
      <c r="G108">
        <v>1.86</v>
      </c>
      <c r="H108">
        <v>1.98</v>
      </c>
      <c r="I108" s="2">
        <v>46161.678831018522</v>
      </c>
    </row>
    <row r="109" spans="1:9" x14ac:dyDescent="0.25">
      <c r="A109">
        <v>129991202</v>
      </c>
      <c r="B109" s="2">
        <v>46164.416666666664</v>
      </c>
      <c r="C109" t="s">
        <v>8</v>
      </c>
      <c r="D109" t="s">
        <v>15</v>
      </c>
      <c r="E109" t="s">
        <v>62</v>
      </c>
      <c r="F109" t="s">
        <v>69</v>
      </c>
      <c r="G109">
        <v>1.67</v>
      </c>
      <c r="H109">
        <v>2.2000000000000002</v>
      </c>
      <c r="I109" s="2">
        <v>46161.678599537037</v>
      </c>
    </row>
    <row r="110" spans="1:9" x14ac:dyDescent="0.25">
      <c r="A110">
        <v>129991202</v>
      </c>
      <c r="B110" s="2">
        <v>46164.416666666664</v>
      </c>
      <c r="C110" t="s">
        <v>8</v>
      </c>
      <c r="D110" t="s">
        <v>15</v>
      </c>
      <c r="E110" t="s">
        <v>72</v>
      </c>
      <c r="F110" t="s">
        <v>69</v>
      </c>
      <c r="G110">
        <v>1.73</v>
      </c>
      <c r="H110">
        <v>2.12</v>
      </c>
      <c r="I110" s="2">
        <v>46161.678379629629</v>
      </c>
    </row>
    <row r="111" spans="1:9" x14ac:dyDescent="0.25">
      <c r="A111">
        <v>129991202</v>
      </c>
      <c r="B111" s="2">
        <v>46164.416666666664</v>
      </c>
      <c r="C111" t="s">
        <v>8</v>
      </c>
      <c r="D111" t="s">
        <v>15</v>
      </c>
      <c r="E111" t="s">
        <v>73</v>
      </c>
      <c r="F111" t="s">
        <v>69</v>
      </c>
      <c r="G111">
        <v>1.72</v>
      </c>
      <c r="H111">
        <v>2.1</v>
      </c>
      <c r="I111" s="2">
        <v>46161.678611111114</v>
      </c>
    </row>
    <row r="112" spans="1:9" x14ac:dyDescent="0.25">
      <c r="A112">
        <v>129991203</v>
      </c>
      <c r="B112" s="2">
        <v>46165.416666666664</v>
      </c>
      <c r="C112" t="s">
        <v>11</v>
      </c>
      <c r="D112" t="s">
        <v>13</v>
      </c>
      <c r="E112" t="s">
        <v>63</v>
      </c>
      <c r="F112" t="s">
        <v>69</v>
      </c>
      <c r="G112">
        <v>4.5999999999999996</v>
      </c>
      <c r="H112">
        <v>1.2</v>
      </c>
      <c r="I112" s="2">
        <v>46161.678819444445</v>
      </c>
    </row>
    <row r="113" spans="1:9" x14ac:dyDescent="0.25">
      <c r="A113">
        <v>129991203</v>
      </c>
      <c r="B113" s="2">
        <v>46165.416666666664</v>
      </c>
      <c r="C113" t="s">
        <v>11</v>
      </c>
      <c r="D113" t="s">
        <v>13</v>
      </c>
      <c r="E113" t="s">
        <v>64</v>
      </c>
      <c r="F113" t="s">
        <v>69</v>
      </c>
      <c r="G113">
        <v>4.5</v>
      </c>
      <c r="H113">
        <v>1.21</v>
      </c>
      <c r="I113" s="2">
        <v>46161.678819444445</v>
      </c>
    </row>
    <row r="114" spans="1:9" x14ac:dyDescent="0.25">
      <c r="A114">
        <v>129991203</v>
      </c>
      <c r="B114" s="2">
        <v>46165.416666666664</v>
      </c>
      <c r="C114" t="s">
        <v>11</v>
      </c>
      <c r="D114" t="s">
        <v>13</v>
      </c>
      <c r="E114" t="s">
        <v>66</v>
      </c>
      <c r="F114" t="s">
        <v>69</v>
      </c>
      <c r="G114">
        <v>4</v>
      </c>
      <c r="H114">
        <v>1.25</v>
      </c>
      <c r="I114" s="2">
        <v>46161.678599537037</v>
      </c>
    </row>
    <row r="115" spans="1:9" x14ac:dyDescent="0.25">
      <c r="A115">
        <v>129991203</v>
      </c>
      <c r="B115" s="2">
        <v>46165.416666666664</v>
      </c>
      <c r="C115" t="s">
        <v>11</v>
      </c>
      <c r="D115" t="s">
        <v>13</v>
      </c>
      <c r="E115" t="s">
        <v>70</v>
      </c>
      <c r="F115" t="s">
        <v>69</v>
      </c>
      <c r="G115">
        <v>5</v>
      </c>
      <c r="H115">
        <v>1.18</v>
      </c>
      <c r="I115" s="2">
        <v>46161.678379629629</v>
      </c>
    </row>
    <row r="116" spans="1:9" x14ac:dyDescent="0.25">
      <c r="A116">
        <v>129991203</v>
      </c>
      <c r="B116" s="2">
        <v>46165.416666666664</v>
      </c>
      <c r="C116" t="s">
        <v>11</v>
      </c>
      <c r="D116" t="s">
        <v>13</v>
      </c>
      <c r="E116" t="s">
        <v>65</v>
      </c>
      <c r="F116" t="s">
        <v>69</v>
      </c>
      <c r="G116">
        <v>5</v>
      </c>
      <c r="H116">
        <v>1.18</v>
      </c>
      <c r="I116" s="2">
        <v>46161.678819444445</v>
      </c>
    </row>
    <row r="117" spans="1:9" x14ac:dyDescent="0.25">
      <c r="A117">
        <v>129991203</v>
      </c>
      <c r="B117" s="2">
        <v>46165.416666666664</v>
      </c>
      <c r="C117" t="s">
        <v>11</v>
      </c>
      <c r="D117" t="s">
        <v>13</v>
      </c>
      <c r="E117" t="s">
        <v>71</v>
      </c>
      <c r="F117" t="s">
        <v>69</v>
      </c>
      <c r="G117">
        <v>4.1500000000000004</v>
      </c>
      <c r="H117">
        <v>1.22</v>
      </c>
      <c r="I117" s="2">
        <v>46161.678379629629</v>
      </c>
    </row>
    <row r="118" spans="1:9" x14ac:dyDescent="0.25">
      <c r="A118">
        <v>129991203</v>
      </c>
      <c r="B118" s="2">
        <v>46165.416666666664</v>
      </c>
      <c r="C118" t="s">
        <v>11</v>
      </c>
      <c r="D118" t="s">
        <v>13</v>
      </c>
      <c r="E118" t="s">
        <v>67</v>
      </c>
      <c r="F118" t="s">
        <v>69</v>
      </c>
      <c r="G118">
        <v>4.4000000000000004</v>
      </c>
      <c r="H118">
        <v>1.2</v>
      </c>
      <c r="I118" s="2">
        <v>46161.678599537037</v>
      </c>
    </row>
    <row r="119" spans="1:9" x14ac:dyDescent="0.25">
      <c r="A119">
        <v>129991203</v>
      </c>
      <c r="B119" s="2">
        <v>46165.416666666664</v>
      </c>
      <c r="C119" t="s">
        <v>11</v>
      </c>
      <c r="D119" t="s">
        <v>13</v>
      </c>
      <c r="E119" t="s">
        <v>61</v>
      </c>
      <c r="F119" t="s">
        <v>69</v>
      </c>
      <c r="G119">
        <v>4.5999999999999996</v>
      </c>
      <c r="H119">
        <v>1.2</v>
      </c>
      <c r="I119" s="2">
        <v>46161.678831018522</v>
      </c>
    </row>
    <row r="120" spans="1:9" x14ac:dyDescent="0.25">
      <c r="A120">
        <v>129991203</v>
      </c>
      <c r="B120" s="2">
        <v>46165.416666666664</v>
      </c>
      <c r="C120" t="s">
        <v>11</v>
      </c>
      <c r="D120" t="s">
        <v>13</v>
      </c>
      <c r="E120" t="s">
        <v>62</v>
      </c>
      <c r="F120" t="s">
        <v>69</v>
      </c>
      <c r="G120">
        <v>4.3</v>
      </c>
      <c r="H120">
        <v>1.22</v>
      </c>
      <c r="I120" s="2">
        <v>46161.678599537037</v>
      </c>
    </row>
    <row r="121" spans="1:9" x14ac:dyDescent="0.25">
      <c r="A121">
        <v>129991203</v>
      </c>
      <c r="B121" s="2">
        <v>46165.416666666664</v>
      </c>
      <c r="C121" t="s">
        <v>11</v>
      </c>
      <c r="D121" t="s">
        <v>13</v>
      </c>
      <c r="E121" t="s">
        <v>72</v>
      </c>
      <c r="F121" t="s">
        <v>69</v>
      </c>
      <c r="G121">
        <v>4.0999999999999996</v>
      </c>
      <c r="H121">
        <v>1.24</v>
      </c>
      <c r="I121" s="2">
        <v>46161.678379629629</v>
      </c>
    </row>
    <row r="122" spans="1:9" x14ac:dyDescent="0.25">
      <c r="A122">
        <v>129991203</v>
      </c>
      <c r="B122" s="2">
        <v>46165.416666666664</v>
      </c>
      <c r="C122" t="s">
        <v>11</v>
      </c>
      <c r="D122" t="s">
        <v>13</v>
      </c>
      <c r="E122" t="s">
        <v>73</v>
      </c>
      <c r="F122" t="s">
        <v>69</v>
      </c>
      <c r="G122">
        <v>4</v>
      </c>
      <c r="H122">
        <v>1.23</v>
      </c>
      <c r="I122" s="2">
        <v>46161.678611111114</v>
      </c>
    </row>
    <row r="123" spans="1:9" x14ac:dyDescent="0.25">
      <c r="A123">
        <v>129991204</v>
      </c>
      <c r="B123" s="2">
        <v>46165.416666666664</v>
      </c>
      <c r="C123" t="s">
        <v>19</v>
      </c>
      <c r="D123" t="s">
        <v>22</v>
      </c>
      <c r="E123" t="s">
        <v>63</v>
      </c>
      <c r="F123" t="s">
        <v>69</v>
      </c>
      <c r="G123">
        <v>1.27</v>
      </c>
      <c r="H123">
        <v>3.8</v>
      </c>
      <c r="I123" s="2">
        <v>46161.678819444445</v>
      </c>
    </row>
    <row r="124" spans="1:9" x14ac:dyDescent="0.25">
      <c r="A124">
        <v>129991204</v>
      </c>
      <c r="B124" s="2">
        <v>46165.416666666664</v>
      </c>
      <c r="C124" t="s">
        <v>19</v>
      </c>
      <c r="D124" t="s">
        <v>22</v>
      </c>
      <c r="E124" t="s">
        <v>64</v>
      </c>
      <c r="F124" t="s">
        <v>69</v>
      </c>
      <c r="G124">
        <v>1.31</v>
      </c>
      <c r="H124">
        <v>1.1000000000000001</v>
      </c>
      <c r="I124" s="2">
        <v>46161.678819444445</v>
      </c>
    </row>
    <row r="125" spans="1:9" x14ac:dyDescent="0.25">
      <c r="A125">
        <v>129991204</v>
      </c>
      <c r="B125" s="2">
        <v>46165.416666666664</v>
      </c>
      <c r="C125" t="s">
        <v>19</v>
      </c>
      <c r="D125" t="s">
        <v>22</v>
      </c>
      <c r="E125" t="s">
        <v>66</v>
      </c>
      <c r="F125" t="s">
        <v>69</v>
      </c>
      <c r="G125">
        <v>1.3</v>
      </c>
      <c r="H125">
        <v>3.55</v>
      </c>
      <c r="I125" s="2">
        <v>46161.678599537037</v>
      </c>
    </row>
    <row r="126" spans="1:9" x14ac:dyDescent="0.25">
      <c r="A126">
        <v>129991204</v>
      </c>
      <c r="B126" s="2">
        <v>46165.416666666664</v>
      </c>
      <c r="C126" t="s">
        <v>19</v>
      </c>
      <c r="D126" t="s">
        <v>22</v>
      </c>
      <c r="E126" t="s">
        <v>70</v>
      </c>
      <c r="F126" t="s">
        <v>69</v>
      </c>
      <c r="G126">
        <v>1.25</v>
      </c>
      <c r="H126">
        <v>4</v>
      </c>
      <c r="I126" s="2">
        <v>46161.678379629629</v>
      </c>
    </row>
    <row r="127" spans="1:9" x14ac:dyDescent="0.25">
      <c r="A127">
        <v>129991204</v>
      </c>
      <c r="B127" s="2">
        <v>46165.416666666664</v>
      </c>
      <c r="C127" t="s">
        <v>19</v>
      </c>
      <c r="D127" t="s">
        <v>22</v>
      </c>
      <c r="E127" t="s">
        <v>65</v>
      </c>
      <c r="F127" t="s">
        <v>69</v>
      </c>
      <c r="G127">
        <v>1.25</v>
      </c>
      <c r="H127">
        <v>4</v>
      </c>
      <c r="I127" s="2">
        <v>46161.678819444445</v>
      </c>
    </row>
    <row r="128" spans="1:9" x14ac:dyDescent="0.25">
      <c r="A128">
        <v>129991204</v>
      </c>
      <c r="B128" s="2">
        <v>46165.416666666664</v>
      </c>
      <c r="C128" t="s">
        <v>19</v>
      </c>
      <c r="D128" t="s">
        <v>22</v>
      </c>
      <c r="E128" t="s">
        <v>71</v>
      </c>
      <c r="F128" t="s">
        <v>69</v>
      </c>
      <c r="G128">
        <v>1.26</v>
      </c>
      <c r="H128">
        <v>3.75</v>
      </c>
      <c r="I128" s="2">
        <v>46161.678379629629</v>
      </c>
    </row>
    <row r="129" spans="1:9" x14ac:dyDescent="0.25">
      <c r="A129">
        <v>129991204</v>
      </c>
      <c r="B129" s="2">
        <v>46165.416666666664</v>
      </c>
      <c r="C129" t="s">
        <v>19</v>
      </c>
      <c r="D129" t="s">
        <v>22</v>
      </c>
      <c r="E129" t="s">
        <v>67</v>
      </c>
      <c r="F129" t="s">
        <v>69</v>
      </c>
      <c r="G129">
        <v>1.27</v>
      </c>
      <c r="H129">
        <v>3.65</v>
      </c>
      <c r="I129" s="2">
        <v>46161.678599537037</v>
      </c>
    </row>
    <row r="130" spans="1:9" x14ac:dyDescent="0.25">
      <c r="A130">
        <v>129991204</v>
      </c>
      <c r="B130" s="2">
        <v>46165.416666666664</v>
      </c>
      <c r="C130" t="s">
        <v>19</v>
      </c>
      <c r="D130" t="s">
        <v>22</v>
      </c>
      <c r="E130" t="s">
        <v>61</v>
      </c>
      <c r="F130" t="s">
        <v>69</v>
      </c>
      <c r="G130">
        <v>1.24</v>
      </c>
      <c r="H130">
        <v>4.0999999999999996</v>
      </c>
      <c r="I130" s="2">
        <v>46161.678831018522</v>
      </c>
    </row>
    <row r="131" spans="1:9" x14ac:dyDescent="0.25">
      <c r="A131">
        <v>129991204</v>
      </c>
      <c r="B131" s="2">
        <v>46165.416666666664</v>
      </c>
      <c r="C131" t="s">
        <v>19</v>
      </c>
      <c r="D131" t="s">
        <v>22</v>
      </c>
      <c r="E131" t="s">
        <v>62</v>
      </c>
      <c r="F131" t="s">
        <v>69</v>
      </c>
      <c r="G131">
        <v>1.28</v>
      </c>
      <c r="H131">
        <v>3.7</v>
      </c>
      <c r="I131" s="2">
        <v>46161.678599537037</v>
      </c>
    </row>
    <row r="132" spans="1:9" x14ac:dyDescent="0.25">
      <c r="A132">
        <v>129991204</v>
      </c>
      <c r="B132" s="2">
        <v>46165.416666666664</v>
      </c>
      <c r="C132" t="s">
        <v>19</v>
      </c>
      <c r="D132" t="s">
        <v>22</v>
      </c>
      <c r="E132" t="s">
        <v>72</v>
      </c>
      <c r="F132" t="s">
        <v>69</v>
      </c>
      <c r="G132">
        <v>1.25</v>
      </c>
      <c r="H132">
        <v>4</v>
      </c>
      <c r="I132" s="2">
        <v>46161.678379629629</v>
      </c>
    </row>
    <row r="133" spans="1:9" x14ac:dyDescent="0.25">
      <c r="A133">
        <v>129991204</v>
      </c>
      <c r="B133" s="2">
        <v>46165.416666666664</v>
      </c>
      <c r="C133" t="s">
        <v>19</v>
      </c>
      <c r="D133" t="s">
        <v>22</v>
      </c>
      <c r="E133" t="s">
        <v>73</v>
      </c>
      <c r="F133" t="s">
        <v>69</v>
      </c>
      <c r="G133">
        <v>1.24</v>
      </c>
      <c r="H133">
        <v>3.95</v>
      </c>
      <c r="I133" s="2">
        <v>46161.678611111114</v>
      </c>
    </row>
    <row r="134" spans="1:9" x14ac:dyDescent="0.25">
      <c r="A134">
        <v>129991205</v>
      </c>
      <c r="B134" s="2">
        <v>46166.416666666664</v>
      </c>
      <c r="C134" t="s">
        <v>7</v>
      </c>
      <c r="D134" t="s">
        <v>14</v>
      </c>
      <c r="E134" t="s">
        <v>63</v>
      </c>
      <c r="F134" t="s">
        <v>69</v>
      </c>
      <c r="G134">
        <v>1.7</v>
      </c>
      <c r="H134">
        <v>2.15</v>
      </c>
      <c r="I134" s="2">
        <v>46161.678819444445</v>
      </c>
    </row>
    <row r="135" spans="1:9" x14ac:dyDescent="0.25">
      <c r="A135">
        <v>129991205</v>
      </c>
      <c r="B135" s="2">
        <v>46166.416666666664</v>
      </c>
      <c r="C135" t="s">
        <v>7</v>
      </c>
      <c r="D135" t="s">
        <v>14</v>
      </c>
      <c r="E135" t="s">
        <v>64</v>
      </c>
      <c r="F135" t="s">
        <v>69</v>
      </c>
      <c r="G135">
        <v>1.01</v>
      </c>
      <c r="H135">
        <v>2.14</v>
      </c>
      <c r="I135" s="2">
        <v>46161.678819444445</v>
      </c>
    </row>
    <row r="136" spans="1:9" x14ac:dyDescent="0.25">
      <c r="A136">
        <v>129991205</v>
      </c>
      <c r="B136" s="2">
        <v>46166.416666666664</v>
      </c>
      <c r="C136" t="s">
        <v>7</v>
      </c>
      <c r="D136" t="s">
        <v>14</v>
      </c>
      <c r="E136" t="s">
        <v>66</v>
      </c>
      <c r="F136" t="s">
        <v>69</v>
      </c>
      <c r="G136">
        <v>1.6</v>
      </c>
      <c r="H136">
        <v>2.35</v>
      </c>
      <c r="I136" s="2">
        <v>46161.678599537037</v>
      </c>
    </row>
    <row r="137" spans="1:9" x14ac:dyDescent="0.25">
      <c r="A137">
        <v>129991205</v>
      </c>
      <c r="B137" s="2">
        <v>46166.416666666664</v>
      </c>
      <c r="C137" t="s">
        <v>7</v>
      </c>
      <c r="D137" t="s">
        <v>14</v>
      </c>
      <c r="E137" t="s">
        <v>70</v>
      </c>
      <c r="F137" t="s">
        <v>69</v>
      </c>
      <c r="G137">
        <v>1.7</v>
      </c>
      <c r="H137">
        <v>2.15</v>
      </c>
      <c r="I137" s="2">
        <v>46161.678379629629</v>
      </c>
    </row>
    <row r="138" spans="1:9" x14ac:dyDescent="0.25">
      <c r="A138">
        <v>129991205</v>
      </c>
      <c r="B138" s="2">
        <v>46166.416666666664</v>
      </c>
      <c r="C138" t="s">
        <v>7</v>
      </c>
      <c r="D138" t="s">
        <v>14</v>
      </c>
      <c r="E138" t="s">
        <v>65</v>
      </c>
      <c r="F138" t="s">
        <v>69</v>
      </c>
      <c r="G138">
        <v>1.7</v>
      </c>
      <c r="H138">
        <v>2.15</v>
      </c>
      <c r="I138" s="2">
        <v>46161.678819444445</v>
      </c>
    </row>
    <row r="139" spans="1:9" x14ac:dyDescent="0.25">
      <c r="A139">
        <v>129991205</v>
      </c>
      <c r="B139" s="2">
        <v>46166.416666666664</v>
      </c>
      <c r="C139" t="s">
        <v>7</v>
      </c>
      <c r="D139" t="s">
        <v>14</v>
      </c>
      <c r="E139" t="s">
        <v>71</v>
      </c>
      <c r="F139" t="s">
        <v>69</v>
      </c>
      <c r="G139">
        <v>1.62</v>
      </c>
      <c r="H139">
        <v>2.25</v>
      </c>
      <c r="I139" s="2">
        <v>46161.678379629629</v>
      </c>
    </row>
    <row r="140" spans="1:9" x14ac:dyDescent="0.25">
      <c r="A140">
        <v>129991205</v>
      </c>
      <c r="B140" s="2">
        <v>46166.416666666664</v>
      </c>
      <c r="C140" t="s">
        <v>7</v>
      </c>
      <c r="D140" t="s">
        <v>14</v>
      </c>
      <c r="E140" t="s">
        <v>67</v>
      </c>
      <c r="F140" t="s">
        <v>69</v>
      </c>
      <c r="G140">
        <v>1.68</v>
      </c>
      <c r="H140">
        <v>2.15</v>
      </c>
      <c r="I140" s="2">
        <v>46161.678599537037</v>
      </c>
    </row>
    <row r="141" spans="1:9" x14ac:dyDescent="0.25">
      <c r="A141">
        <v>129991205</v>
      </c>
      <c r="B141" s="2">
        <v>46166.416666666664</v>
      </c>
      <c r="C141" t="s">
        <v>7</v>
      </c>
      <c r="D141" t="s">
        <v>14</v>
      </c>
      <c r="E141" t="s">
        <v>61</v>
      </c>
      <c r="F141" t="s">
        <v>69</v>
      </c>
      <c r="G141">
        <v>1.69</v>
      </c>
      <c r="H141">
        <v>2.1800000000000002</v>
      </c>
      <c r="I141" s="2">
        <v>46161.678831018522</v>
      </c>
    </row>
    <row r="142" spans="1:9" x14ac:dyDescent="0.25">
      <c r="A142">
        <v>129991205</v>
      </c>
      <c r="B142" s="2">
        <v>46166.416666666664</v>
      </c>
      <c r="C142" t="s">
        <v>7</v>
      </c>
      <c r="D142" t="s">
        <v>14</v>
      </c>
      <c r="E142" t="s">
        <v>62</v>
      </c>
      <c r="F142" t="s">
        <v>69</v>
      </c>
      <c r="G142">
        <v>1.62</v>
      </c>
      <c r="H142">
        <v>2.2999999999999998</v>
      </c>
      <c r="I142" s="2">
        <v>46161.678599537037</v>
      </c>
    </row>
    <row r="143" spans="1:9" x14ac:dyDescent="0.25">
      <c r="A143">
        <v>129991205</v>
      </c>
      <c r="B143" s="2">
        <v>46166.416666666664</v>
      </c>
      <c r="C143" t="s">
        <v>7</v>
      </c>
      <c r="D143" t="s">
        <v>14</v>
      </c>
      <c r="E143" t="s">
        <v>72</v>
      </c>
      <c r="F143" t="s">
        <v>69</v>
      </c>
      <c r="G143">
        <v>1.65</v>
      </c>
      <c r="H143">
        <v>2.25</v>
      </c>
      <c r="I143" s="2">
        <v>46161.678379629629</v>
      </c>
    </row>
    <row r="144" spans="1:9" x14ac:dyDescent="0.25">
      <c r="A144">
        <v>129991205</v>
      </c>
      <c r="B144" s="2">
        <v>46166.416666666664</v>
      </c>
      <c r="C144" t="s">
        <v>7</v>
      </c>
      <c r="D144" t="s">
        <v>14</v>
      </c>
      <c r="E144" t="s">
        <v>73</v>
      </c>
      <c r="F144" t="s">
        <v>69</v>
      </c>
      <c r="G144">
        <v>1.64</v>
      </c>
      <c r="H144">
        <v>2.23</v>
      </c>
      <c r="I144" s="2">
        <v>46161.678611111114</v>
      </c>
    </row>
    <row r="145" spans="1:9" x14ac:dyDescent="0.25">
      <c r="A145">
        <v>129991301</v>
      </c>
      <c r="B145" s="2">
        <v>46171.833333333336</v>
      </c>
      <c r="C145" t="s">
        <v>6</v>
      </c>
      <c r="D145" t="s">
        <v>19</v>
      </c>
      <c r="E145" t="s">
        <v>64</v>
      </c>
      <c r="F145" t="s">
        <v>69</v>
      </c>
      <c r="G145">
        <v>1.87</v>
      </c>
      <c r="H145">
        <v>1.1599999999999999</v>
      </c>
      <c r="I145" s="2">
        <v>46168.944895833331</v>
      </c>
    </row>
    <row r="146" spans="1:9" x14ac:dyDescent="0.25">
      <c r="A146">
        <v>129991301</v>
      </c>
      <c r="B146" s="2">
        <v>46171.833333333336</v>
      </c>
      <c r="C146" t="s">
        <v>6</v>
      </c>
      <c r="D146" t="s">
        <v>19</v>
      </c>
      <c r="E146" t="s">
        <v>66</v>
      </c>
      <c r="F146" t="s">
        <v>69</v>
      </c>
      <c r="G146">
        <v>1.9</v>
      </c>
      <c r="H146">
        <v>1.9</v>
      </c>
      <c r="I146" s="2">
        <v>46168.944224537037</v>
      </c>
    </row>
    <row r="147" spans="1:9" x14ac:dyDescent="0.25">
      <c r="A147">
        <v>129991301</v>
      </c>
      <c r="B147" s="2">
        <v>46171.833333333336</v>
      </c>
      <c r="C147" t="s">
        <v>6</v>
      </c>
      <c r="D147" t="s">
        <v>19</v>
      </c>
      <c r="E147" t="s">
        <v>63</v>
      </c>
      <c r="F147" t="s">
        <v>69</v>
      </c>
      <c r="G147">
        <v>1.85</v>
      </c>
      <c r="H147">
        <v>1.95</v>
      </c>
      <c r="I147" s="2">
        <v>46168.944664351853</v>
      </c>
    </row>
    <row r="148" spans="1:9" x14ac:dyDescent="0.25">
      <c r="A148">
        <v>129991301</v>
      </c>
      <c r="B148" s="2">
        <v>46171.833333333336</v>
      </c>
      <c r="C148" t="s">
        <v>6</v>
      </c>
      <c r="D148" t="s">
        <v>19</v>
      </c>
      <c r="E148" t="s">
        <v>70</v>
      </c>
      <c r="F148" t="s">
        <v>69</v>
      </c>
      <c r="G148">
        <v>1.85</v>
      </c>
      <c r="H148">
        <v>1.96</v>
      </c>
      <c r="I148" s="2">
        <v>46168.944884259261</v>
      </c>
    </row>
    <row r="149" spans="1:9" x14ac:dyDescent="0.25">
      <c r="A149">
        <v>129991301</v>
      </c>
      <c r="B149" s="2">
        <v>46171.833333333336</v>
      </c>
      <c r="C149" t="s">
        <v>6</v>
      </c>
      <c r="D149" t="s">
        <v>19</v>
      </c>
      <c r="E149" t="s">
        <v>65</v>
      </c>
      <c r="F149" t="s">
        <v>69</v>
      </c>
      <c r="G149">
        <v>1.85</v>
      </c>
      <c r="H149">
        <v>1.96</v>
      </c>
      <c r="I149" s="2">
        <v>46168.944224537037</v>
      </c>
    </row>
    <row r="150" spans="1:9" x14ac:dyDescent="0.25">
      <c r="A150">
        <v>129991301</v>
      </c>
      <c r="B150" s="2">
        <v>46171.833333333336</v>
      </c>
      <c r="C150" t="s">
        <v>6</v>
      </c>
      <c r="D150" t="s">
        <v>19</v>
      </c>
      <c r="E150" t="s">
        <v>71</v>
      </c>
      <c r="F150" t="s">
        <v>69</v>
      </c>
      <c r="G150">
        <v>1.85</v>
      </c>
      <c r="H150">
        <v>1.95</v>
      </c>
      <c r="I150" s="2">
        <v>46168.944664351853</v>
      </c>
    </row>
    <row r="151" spans="1:9" x14ac:dyDescent="0.25">
      <c r="A151">
        <v>129991301</v>
      </c>
      <c r="B151" s="2">
        <v>46171.833333333336</v>
      </c>
      <c r="C151" t="s">
        <v>6</v>
      </c>
      <c r="D151" t="s">
        <v>19</v>
      </c>
      <c r="E151" t="s">
        <v>67</v>
      </c>
      <c r="F151" t="s">
        <v>69</v>
      </c>
      <c r="G151">
        <v>1.85</v>
      </c>
      <c r="H151">
        <v>1.95</v>
      </c>
      <c r="I151" s="2">
        <v>46168.944884259261</v>
      </c>
    </row>
    <row r="152" spans="1:9" x14ac:dyDescent="0.25">
      <c r="A152">
        <v>129991301</v>
      </c>
      <c r="B152" s="2">
        <v>46171.833333333336</v>
      </c>
      <c r="C152" t="s">
        <v>6</v>
      </c>
      <c r="D152" t="s">
        <v>19</v>
      </c>
      <c r="E152" t="s">
        <v>61</v>
      </c>
      <c r="F152" t="s">
        <v>69</v>
      </c>
      <c r="G152">
        <v>1.87</v>
      </c>
      <c r="H152">
        <v>1.98</v>
      </c>
      <c r="I152" s="2">
        <v>46168.944224537037</v>
      </c>
    </row>
    <row r="153" spans="1:9" x14ac:dyDescent="0.25">
      <c r="A153">
        <v>129991301</v>
      </c>
      <c r="B153" s="2">
        <v>46171.833333333336</v>
      </c>
      <c r="C153" t="s">
        <v>6</v>
      </c>
      <c r="D153" t="s">
        <v>19</v>
      </c>
      <c r="E153" t="s">
        <v>62</v>
      </c>
      <c r="F153" t="s">
        <v>69</v>
      </c>
      <c r="G153">
        <v>1.85</v>
      </c>
      <c r="H153">
        <v>1.95</v>
      </c>
      <c r="I153" s="2">
        <v>46168.944675925923</v>
      </c>
    </row>
    <row r="154" spans="1:9" x14ac:dyDescent="0.25">
      <c r="A154">
        <v>129991301</v>
      </c>
      <c r="B154" s="2">
        <v>46171.833333333336</v>
      </c>
      <c r="C154" t="s">
        <v>6</v>
      </c>
      <c r="D154" t="s">
        <v>19</v>
      </c>
      <c r="E154" t="s">
        <v>72</v>
      </c>
      <c r="F154" t="s">
        <v>69</v>
      </c>
      <c r="G154">
        <v>1.85</v>
      </c>
      <c r="H154">
        <v>1.95</v>
      </c>
      <c r="I154" s="2">
        <v>46168.944664351853</v>
      </c>
    </row>
    <row r="155" spans="1:9" x14ac:dyDescent="0.25">
      <c r="A155">
        <v>129991301</v>
      </c>
      <c r="B155" s="2">
        <v>46171.833333333336</v>
      </c>
      <c r="C155" t="s">
        <v>6</v>
      </c>
      <c r="D155" t="s">
        <v>19</v>
      </c>
      <c r="E155" t="s">
        <v>73</v>
      </c>
      <c r="F155" t="s">
        <v>69</v>
      </c>
      <c r="G155">
        <v>1.84</v>
      </c>
      <c r="H155">
        <v>1.94</v>
      </c>
      <c r="I155" s="2">
        <v>46168.944675925923</v>
      </c>
    </row>
    <row r="156" spans="1:9" x14ac:dyDescent="0.25">
      <c r="A156">
        <v>129991302</v>
      </c>
      <c r="B156" s="2">
        <v>46172.625</v>
      </c>
      <c r="C156" t="s">
        <v>17</v>
      </c>
      <c r="D156" t="s">
        <v>18</v>
      </c>
      <c r="E156" t="s">
        <v>64</v>
      </c>
      <c r="F156" t="s">
        <v>69</v>
      </c>
      <c r="G156">
        <v>1.18</v>
      </c>
      <c r="H156">
        <v>4.2</v>
      </c>
      <c r="I156" s="2">
        <v>46168.944895833331</v>
      </c>
    </row>
    <row r="157" spans="1:9" x14ac:dyDescent="0.25">
      <c r="A157">
        <v>129991302</v>
      </c>
      <c r="B157" s="2">
        <v>46172.625</v>
      </c>
      <c r="C157" t="s">
        <v>17</v>
      </c>
      <c r="D157" t="s">
        <v>18</v>
      </c>
      <c r="E157" t="s">
        <v>66</v>
      </c>
      <c r="F157" t="s">
        <v>69</v>
      </c>
      <c r="G157">
        <v>1.22</v>
      </c>
      <c r="H157">
        <v>4.25</v>
      </c>
      <c r="I157" s="2">
        <v>46168.944224537037</v>
      </c>
    </row>
    <row r="158" spans="1:9" x14ac:dyDescent="0.25">
      <c r="A158">
        <v>129991302</v>
      </c>
      <c r="B158" s="2">
        <v>46172.625</v>
      </c>
      <c r="C158" t="s">
        <v>17</v>
      </c>
      <c r="D158" t="s">
        <v>18</v>
      </c>
      <c r="E158" t="s">
        <v>63</v>
      </c>
      <c r="F158" t="s">
        <v>69</v>
      </c>
      <c r="G158">
        <v>1.22</v>
      </c>
      <c r="H158">
        <v>4.3</v>
      </c>
      <c r="I158" s="2">
        <v>46168.944664351853</v>
      </c>
    </row>
    <row r="159" spans="1:9" x14ac:dyDescent="0.25">
      <c r="A159">
        <v>129991302</v>
      </c>
      <c r="B159" s="2">
        <v>46172.625</v>
      </c>
      <c r="C159" t="s">
        <v>17</v>
      </c>
      <c r="D159" t="s">
        <v>18</v>
      </c>
      <c r="E159" t="s">
        <v>70</v>
      </c>
      <c r="F159" t="s">
        <v>69</v>
      </c>
      <c r="G159">
        <v>1.22</v>
      </c>
      <c r="H159">
        <v>4.25</v>
      </c>
      <c r="I159" s="2">
        <v>46168.944884259261</v>
      </c>
    </row>
    <row r="160" spans="1:9" x14ac:dyDescent="0.25">
      <c r="A160">
        <v>129991302</v>
      </c>
      <c r="B160" s="2">
        <v>46172.625</v>
      </c>
      <c r="C160" t="s">
        <v>17</v>
      </c>
      <c r="D160" t="s">
        <v>18</v>
      </c>
      <c r="E160" t="s">
        <v>65</v>
      </c>
      <c r="F160" t="s">
        <v>69</v>
      </c>
      <c r="G160">
        <v>1.22</v>
      </c>
      <c r="H160">
        <v>4.25</v>
      </c>
      <c r="I160" s="2">
        <v>46168.944224537037</v>
      </c>
    </row>
    <row r="161" spans="1:9" x14ac:dyDescent="0.25">
      <c r="A161">
        <v>129991302</v>
      </c>
      <c r="B161" s="2">
        <v>46172.625</v>
      </c>
      <c r="C161" t="s">
        <v>17</v>
      </c>
      <c r="D161" t="s">
        <v>18</v>
      </c>
      <c r="E161" t="s">
        <v>71</v>
      </c>
      <c r="F161" t="s">
        <v>69</v>
      </c>
      <c r="G161">
        <v>1.22</v>
      </c>
      <c r="H161">
        <v>4.3</v>
      </c>
      <c r="I161" s="2">
        <v>46168.944664351853</v>
      </c>
    </row>
    <row r="162" spans="1:9" x14ac:dyDescent="0.25">
      <c r="A162">
        <v>129991302</v>
      </c>
      <c r="B162" s="2">
        <v>46172.625</v>
      </c>
      <c r="C162" t="s">
        <v>17</v>
      </c>
      <c r="D162" t="s">
        <v>18</v>
      </c>
      <c r="E162" t="s">
        <v>67</v>
      </c>
      <c r="F162" t="s">
        <v>69</v>
      </c>
      <c r="G162">
        <v>1.22</v>
      </c>
      <c r="H162">
        <v>4.0999999999999996</v>
      </c>
      <c r="I162" s="2">
        <v>46168.944884259261</v>
      </c>
    </row>
    <row r="163" spans="1:9" x14ac:dyDescent="0.25">
      <c r="A163">
        <v>129991302</v>
      </c>
      <c r="B163" s="2">
        <v>46172.625</v>
      </c>
      <c r="C163" t="s">
        <v>17</v>
      </c>
      <c r="D163" t="s">
        <v>18</v>
      </c>
      <c r="E163" t="s">
        <v>61</v>
      </c>
      <c r="F163" t="s">
        <v>69</v>
      </c>
      <c r="G163">
        <v>1.22</v>
      </c>
      <c r="H163">
        <v>4.3499999999999996</v>
      </c>
      <c r="I163" s="2">
        <v>46168.944224537037</v>
      </c>
    </row>
    <row r="164" spans="1:9" x14ac:dyDescent="0.25">
      <c r="A164">
        <v>129991302</v>
      </c>
      <c r="B164" s="2">
        <v>46172.625</v>
      </c>
      <c r="C164" t="s">
        <v>17</v>
      </c>
      <c r="D164" t="s">
        <v>18</v>
      </c>
      <c r="E164" t="s">
        <v>62</v>
      </c>
      <c r="F164" t="s">
        <v>69</v>
      </c>
      <c r="G164">
        <v>1.22</v>
      </c>
      <c r="H164">
        <v>4.3</v>
      </c>
      <c r="I164" s="2">
        <v>46168.944675925923</v>
      </c>
    </row>
    <row r="165" spans="1:9" x14ac:dyDescent="0.25">
      <c r="A165">
        <v>129991302</v>
      </c>
      <c r="B165" s="2">
        <v>46172.625</v>
      </c>
      <c r="C165" t="s">
        <v>17</v>
      </c>
      <c r="D165" t="s">
        <v>18</v>
      </c>
      <c r="E165" t="s">
        <v>72</v>
      </c>
      <c r="F165" t="s">
        <v>69</v>
      </c>
      <c r="G165">
        <v>1.22</v>
      </c>
      <c r="H165">
        <v>4.3499999999999996</v>
      </c>
      <c r="I165" s="2">
        <v>46168.944664351853</v>
      </c>
    </row>
    <row r="166" spans="1:9" x14ac:dyDescent="0.25">
      <c r="A166">
        <v>129991302</v>
      </c>
      <c r="B166" s="2">
        <v>46172.625</v>
      </c>
      <c r="C166" t="s">
        <v>17</v>
      </c>
      <c r="D166" t="s">
        <v>18</v>
      </c>
      <c r="E166" t="s">
        <v>73</v>
      </c>
      <c r="F166" t="s">
        <v>69</v>
      </c>
      <c r="G166">
        <v>1.21</v>
      </c>
      <c r="H166">
        <v>4.3</v>
      </c>
      <c r="I166" s="2">
        <v>46168.944675925923</v>
      </c>
    </row>
    <row r="167" spans="1:9" x14ac:dyDescent="0.25">
      <c r="A167">
        <v>129991303</v>
      </c>
      <c r="B167" s="2">
        <v>46172.729166666664</v>
      </c>
      <c r="C167" t="s">
        <v>5</v>
      </c>
      <c r="D167" t="s">
        <v>8</v>
      </c>
      <c r="E167" t="s">
        <v>64</v>
      </c>
      <c r="F167" t="s">
        <v>69</v>
      </c>
      <c r="G167">
        <v>1.18</v>
      </c>
      <c r="H167">
        <v>2.04</v>
      </c>
      <c r="I167" s="2">
        <v>46168.944895833331</v>
      </c>
    </row>
    <row r="168" spans="1:9" x14ac:dyDescent="0.25">
      <c r="A168">
        <v>129991303</v>
      </c>
      <c r="B168" s="2">
        <v>46172.729166666664</v>
      </c>
      <c r="C168" t="s">
        <v>5</v>
      </c>
      <c r="D168" t="s">
        <v>8</v>
      </c>
      <c r="E168" t="s">
        <v>66</v>
      </c>
      <c r="F168" t="s">
        <v>69</v>
      </c>
      <c r="G168">
        <v>1.57</v>
      </c>
      <c r="H168">
        <v>2.4</v>
      </c>
      <c r="I168" s="2">
        <v>46168.944224537037</v>
      </c>
    </row>
    <row r="169" spans="1:9" x14ac:dyDescent="0.25">
      <c r="A169">
        <v>129991303</v>
      </c>
      <c r="B169" s="2">
        <v>46172.729166666664</v>
      </c>
      <c r="C169" t="s">
        <v>5</v>
      </c>
      <c r="D169" t="s">
        <v>8</v>
      </c>
      <c r="E169" t="s">
        <v>63</v>
      </c>
      <c r="F169" t="s">
        <v>69</v>
      </c>
      <c r="G169">
        <v>1.57</v>
      </c>
      <c r="H169">
        <v>2.4</v>
      </c>
      <c r="I169" s="2">
        <v>46168.944664351853</v>
      </c>
    </row>
    <row r="170" spans="1:9" x14ac:dyDescent="0.25">
      <c r="A170">
        <v>129991303</v>
      </c>
      <c r="B170" s="2">
        <v>46172.729166666664</v>
      </c>
      <c r="C170" t="s">
        <v>5</v>
      </c>
      <c r="D170" t="s">
        <v>8</v>
      </c>
      <c r="E170" t="s">
        <v>70</v>
      </c>
      <c r="F170" t="s">
        <v>69</v>
      </c>
      <c r="G170">
        <v>1.57</v>
      </c>
      <c r="H170">
        <v>2.4</v>
      </c>
      <c r="I170" s="2">
        <v>46168.944884259261</v>
      </c>
    </row>
    <row r="171" spans="1:9" x14ac:dyDescent="0.25">
      <c r="A171">
        <v>129991303</v>
      </c>
      <c r="B171" s="2">
        <v>46172.729166666664</v>
      </c>
      <c r="C171" t="s">
        <v>5</v>
      </c>
      <c r="D171" t="s">
        <v>8</v>
      </c>
      <c r="E171" t="s">
        <v>65</v>
      </c>
      <c r="F171" t="s">
        <v>69</v>
      </c>
      <c r="G171">
        <v>1.57</v>
      </c>
      <c r="H171">
        <v>2.4</v>
      </c>
      <c r="I171" s="2">
        <v>46168.944224537037</v>
      </c>
    </row>
    <row r="172" spans="1:9" x14ac:dyDescent="0.25">
      <c r="A172">
        <v>129991303</v>
      </c>
      <c r="B172" s="2">
        <v>46172.729166666664</v>
      </c>
      <c r="C172" t="s">
        <v>5</v>
      </c>
      <c r="D172" t="s">
        <v>8</v>
      </c>
      <c r="E172" t="s">
        <v>71</v>
      </c>
      <c r="F172" t="s">
        <v>69</v>
      </c>
      <c r="G172">
        <v>1.57</v>
      </c>
      <c r="H172">
        <v>2.4</v>
      </c>
      <c r="I172" s="2">
        <v>46168.944664351853</v>
      </c>
    </row>
    <row r="173" spans="1:9" x14ac:dyDescent="0.25">
      <c r="A173">
        <v>129991303</v>
      </c>
      <c r="B173" s="2">
        <v>46172.729166666664</v>
      </c>
      <c r="C173" t="s">
        <v>5</v>
      </c>
      <c r="D173" t="s">
        <v>8</v>
      </c>
      <c r="E173" t="s">
        <v>67</v>
      </c>
      <c r="F173" t="s">
        <v>69</v>
      </c>
      <c r="G173">
        <v>1.55</v>
      </c>
      <c r="H173">
        <v>2.4</v>
      </c>
      <c r="I173" s="2">
        <v>46168.944884259261</v>
      </c>
    </row>
    <row r="174" spans="1:9" x14ac:dyDescent="0.25">
      <c r="A174">
        <v>129991303</v>
      </c>
      <c r="B174" s="2">
        <v>46172.729166666664</v>
      </c>
      <c r="C174" t="s">
        <v>5</v>
      </c>
      <c r="D174" t="s">
        <v>8</v>
      </c>
      <c r="E174" t="s">
        <v>61</v>
      </c>
      <c r="F174" t="s">
        <v>69</v>
      </c>
      <c r="G174">
        <v>1.56</v>
      </c>
      <c r="H174">
        <v>2.44</v>
      </c>
      <c r="I174" s="2">
        <v>46168.944224537037</v>
      </c>
    </row>
    <row r="175" spans="1:9" x14ac:dyDescent="0.25">
      <c r="A175">
        <v>129991303</v>
      </c>
      <c r="B175" s="2">
        <v>46172.729166666664</v>
      </c>
      <c r="C175" t="s">
        <v>5</v>
      </c>
      <c r="D175" t="s">
        <v>8</v>
      </c>
      <c r="E175" t="s">
        <v>62</v>
      </c>
      <c r="F175" t="s">
        <v>69</v>
      </c>
      <c r="G175">
        <v>1.58</v>
      </c>
      <c r="H175">
        <v>2.4</v>
      </c>
      <c r="I175" s="2">
        <v>46168.944675925923</v>
      </c>
    </row>
    <row r="176" spans="1:9" x14ac:dyDescent="0.25">
      <c r="A176">
        <v>129991303</v>
      </c>
      <c r="B176" s="2">
        <v>46172.729166666664</v>
      </c>
      <c r="C176" t="s">
        <v>5</v>
      </c>
      <c r="D176" t="s">
        <v>8</v>
      </c>
      <c r="E176" t="s">
        <v>72</v>
      </c>
      <c r="F176" t="s">
        <v>69</v>
      </c>
      <c r="G176">
        <v>1.66</v>
      </c>
      <c r="H176">
        <v>2.23</v>
      </c>
      <c r="I176" s="2">
        <v>46168.944664351853</v>
      </c>
    </row>
    <row r="177" spans="1:9" x14ac:dyDescent="0.25">
      <c r="A177">
        <v>129991303</v>
      </c>
      <c r="B177" s="2">
        <v>46172.729166666664</v>
      </c>
      <c r="C177" t="s">
        <v>5</v>
      </c>
      <c r="D177" t="s">
        <v>8</v>
      </c>
      <c r="E177" t="s">
        <v>73</v>
      </c>
      <c r="F177" t="s">
        <v>69</v>
      </c>
      <c r="G177">
        <v>1.65</v>
      </c>
      <c r="H177">
        <v>2.2000000000000002</v>
      </c>
      <c r="I177" s="2">
        <v>46168.944675925923</v>
      </c>
    </row>
    <row r="178" spans="1:9" x14ac:dyDescent="0.25">
      <c r="A178">
        <v>129991304</v>
      </c>
      <c r="B178" s="2">
        <v>46172.815972222219</v>
      </c>
      <c r="C178" t="s">
        <v>15</v>
      </c>
      <c r="D178" t="s">
        <v>10</v>
      </c>
      <c r="E178" t="s">
        <v>64</v>
      </c>
      <c r="F178" t="s">
        <v>69</v>
      </c>
      <c r="G178">
        <v>1.97</v>
      </c>
      <c r="H178">
        <v>1.84</v>
      </c>
      <c r="I178" s="2">
        <v>46168.944895833331</v>
      </c>
    </row>
    <row r="179" spans="1:9" x14ac:dyDescent="0.25">
      <c r="A179">
        <v>129991304</v>
      </c>
      <c r="B179" s="2">
        <v>46172.815972222219</v>
      </c>
      <c r="C179" t="s">
        <v>15</v>
      </c>
      <c r="D179" t="s">
        <v>10</v>
      </c>
      <c r="E179" t="s">
        <v>66</v>
      </c>
      <c r="F179" t="s">
        <v>69</v>
      </c>
      <c r="G179">
        <v>2.1</v>
      </c>
      <c r="H179">
        <v>1.75</v>
      </c>
      <c r="I179" s="2">
        <v>46168.944224537037</v>
      </c>
    </row>
    <row r="180" spans="1:9" x14ac:dyDescent="0.25">
      <c r="A180">
        <v>129991304</v>
      </c>
      <c r="B180" s="2">
        <v>46172.815972222219</v>
      </c>
      <c r="C180" t="s">
        <v>15</v>
      </c>
      <c r="D180" t="s">
        <v>10</v>
      </c>
      <c r="E180" t="s">
        <v>63</v>
      </c>
      <c r="F180" t="s">
        <v>69</v>
      </c>
      <c r="G180">
        <v>2.02</v>
      </c>
      <c r="H180">
        <v>1.8</v>
      </c>
      <c r="I180" s="2">
        <v>46168.944664351853</v>
      </c>
    </row>
    <row r="181" spans="1:9" x14ac:dyDescent="0.25">
      <c r="A181">
        <v>129991304</v>
      </c>
      <c r="B181" s="2">
        <v>46172.815972222219</v>
      </c>
      <c r="C181" t="s">
        <v>15</v>
      </c>
      <c r="D181" t="s">
        <v>10</v>
      </c>
      <c r="E181" t="s">
        <v>70</v>
      </c>
      <c r="F181" t="s">
        <v>69</v>
      </c>
      <c r="G181">
        <v>2.0499999999999998</v>
      </c>
      <c r="H181">
        <v>1.77</v>
      </c>
      <c r="I181" s="2">
        <v>46168.944884259261</v>
      </c>
    </row>
    <row r="182" spans="1:9" x14ac:dyDescent="0.25">
      <c r="A182">
        <v>129991304</v>
      </c>
      <c r="B182" s="2">
        <v>46172.815972222219</v>
      </c>
      <c r="C182" t="s">
        <v>15</v>
      </c>
      <c r="D182" t="s">
        <v>10</v>
      </c>
      <c r="E182" t="s">
        <v>65</v>
      </c>
      <c r="F182" t="s">
        <v>69</v>
      </c>
      <c r="G182">
        <v>2.0499999999999998</v>
      </c>
      <c r="H182">
        <v>1.77</v>
      </c>
      <c r="I182" s="2">
        <v>46168.944224537037</v>
      </c>
    </row>
    <row r="183" spans="1:9" x14ac:dyDescent="0.25">
      <c r="A183">
        <v>129991304</v>
      </c>
      <c r="B183" s="2">
        <v>46172.815972222219</v>
      </c>
      <c r="C183" t="s">
        <v>15</v>
      </c>
      <c r="D183" t="s">
        <v>10</v>
      </c>
      <c r="E183" t="s">
        <v>71</v>
      </c>
      <c r="F183" t="s">
        <v>69</v>
      </c>
      <c r="G183">
        <v>2.0499999999999998</v>
      </c>
      <c r="H183">
        <v>1.77</v>
      </c>
      <c r="I183" s="2">
        <v>46168.944664351853</v>
      </c>
    </row>
    <row r="184" spans="1:9" x14ac:dyDescent="0.25">
      <c r="A184">
        <v>129991304</v>
      </c>
      <c r="B184" s="2">
        <v>46172.815972222219</v>
      </c>
      <c r="C184" t="s">
        <v>15</v>
      </c>
      <c r="D184" t="s">
        <v>10</v>
      </c>
      <c r="E184" t="s">
        <v>67</v>
      </c>
      <c r="F184" t="s">
        <v>69</v>
      </c>
      <c r="G184">
        <v>2.0499999999999998</v>
      </c>
      <c r="H184">
        <v>1.77</v>
      </c>
      <c r="I184" s="2">
        <v>46168.944884259261</v>
      </c>
    </row>
    <row r="185" spans="1:9" x14ac:dyDescent="0.25">
      <c r="A185">
        <v>129991304</v>
      </c>
      <c r="B185" s="2">
        <v>46172.815972222219</v>
      </c>
      <c r="C185" t="s">
        <v>15</v>
      </c>
      <c r="D185" t="s">
        <v>10</v>
      </c>
      <c r="E185" t="s">
        <v>61</v>
      </c>
      <c r="F185" t="s">
        <v>69</v>
      </c>
      <c r="G185">
        <v>2.04</v>
      </c>
      <c r="H185">
        <v>1.81</v>
      </c>
      <c r="I185" s="2">
        <v>46168.944224537037</v>
      </c>
    </row>
    <row r="186" spans="1:9" x14ac:dyDescent="0.25">
      <c r="A186">
        <v>129991304</v>
      </c>
      <c r="B186" s="2">
        <v>46172.815972222219</v>
      </c>
      <c r="C186" t="s">
        <v>15</v>
      </c>
      <c r="D186" t="s">
        <v>10</v>
      </c>
      <c r="E186" t="s">
        <v>62</v>
      </c>
      <c r="F186" t="s">
        <v>69</v>
      </c>
      <c r="G186">
        <v>2.0499999999999998</v>
      </c>
      <c r="H186">
        <v>1.77</v>
      </c>
      <c r="I186" s="2">
        <v>46168.944675925923</v>
      </c>
    </row>
    <row r="187" spans="1:9" x14ac:dyDescent="0.25">
      <c r="A187">
        <v>129991304</v>
      </c>
      <c r="B187" s="2">
        <v>46172.815972222219</v>
      </c>
      <c r="C187" t="s">
        <v>15</v>
      </c>
      <c r="D187" t="s">
        <v>10</v>
      </c>
      <c r="E187" t="s">
        <v>72</v>
      </c>
      <c r="F187" t="s">
        <v>69</v>
      </c>
      <c r="G187">
        <v>2.0499999999999998</v>
      </c>
      <c r="H187">
        <v>1.77</v>
      </c>
      <c r="I187" s="2">
        <v>46168.944664351853</v>
      </c>
    </row>
    <row r="188" spans="1:9" x14ac:dyDescent="0.25">
      <c r="A188">
        <v>129991304</v>
      </c>
      <c r="B188" s="2">
        <v>46172.815972222219</v>
      </c>
      <c r="C188" t="s">
        <v>15</v>
      </c>
      <c r="D188" t="s">
        <v>10</v>
      </c>
      <c r="E188" t="s">
        <v>73</v>
      </c>
      <c r="F188" t="s">
        <v>69</v>
      </c>
      <c r="G188">
        <v>2.04</v>
      </c>
      <c r="H188">
        <v>1.76</v>
      </c>
      <c r="I188" s="2">
        <v>46168.944675925923</v>
      </c>
    </row>
    <row r="189" spans="1:9" x14ac:dyDescent="0.25">
      <c r="A189">
        <v>129991305</v>
      </c>
      <c r="B189" s="2">
        <v>46173.583333333336</v>
      </c>
      <c r="C189" t="s">
        <v>9</v>
      </c>
      <c r="D189" t="s">
        <v>11</v>
      </c>
      <c r="E189" t="s">
        <v>64</v>
      </c>
      <c r="F189" t="s">
        <v>69</v>
      </c>
      <c r="G189">
        <v>1.1399999999999999</v>
      </c>
      <c r="H189">
        <v>7.2</v>
      </c>
      <c r="I189" s="2">
        <v>46168.944895833331</v>
      </c>
    </row>
    <row r="190" spans="1:9" x14ac:dyDescent="0.25">
      <c r="A190">
        <v>129991305</v>
      </c>
      <c r="B190" s="2">
        <v>46173.583333333336</v>
      </c>
      <c r="C190" t="s">
        <v>9</v>
      </c>
      <c r="D190" t="s">
        <v>11</v>
      </c>
      <c r="E190" t="s">
        <v>66</v>
      </c>
      <c r="F190" t="s">
        <v>69</v>
      </c>
      <c r="G190">
        <v>1.1299999999999999</v>
      </c>
      <c r="H190">
        <v>6</v>
      </c>
      <c r="I190" s="2">
        <v>46168.944224537037</v>
      </c>
    </row>
    <row r="191" spans="1:9" x14ac:dyDescent="0.25">
      <c r="A191">
        <v>129991305</v>
      </c>
      <c r="B191" s="2">
        <v>46173.583333333336</v>
      </c>
      <c r="C191" t="s">
        <v>9</v>
      </c>
      <c r="D191" t="s">
        <v>11</v>
      </c>
      <c r="E191" t="s">
        <v>63</v>
      </c>
      <c r="F191" t="s">
        <v>69</v>
      </c>
      <c r="G191">
        <v>1.1200000000000001</v>
      </c>
      <c r="H191">
        <v>6.25</v>
      </c>
      <c r="I191" s="2">
        <v>46168.944664351853</v>
      </c>
    </row>
    <row r="192" spans="1:9" x14ac:dyDescent="0.25">
      <c r="A192">
        <v>129991305</v>
      </c>
      <c r="B192" s="2">
        <v>46173.583333333336</v>
      </c>
      <c r="C192" t="s">
        <v>9</v>
      </c>
      <c r="D192" t="s">
        <v>11</v>
      </c>
      <c r="E192" t="s">
        <v>70</v>
      </c>
      <c r="F192" t="s">
        <v>69</v>
      </c>
      <c r="G192">
        <v>1.1200000000000001</v>
      </c>
      <c r="H192">
        <v>6.5</v>
      </c>
      <c r="I192" s="2">
        <v>46168.944884259261</v>
      </c>
    </row>
    <row r="193" spans="1:9" x14ac:dyDescent="0.25">
      <c r="A193">
        <v>129991305</v>
      </c>
      <c r="B193" s="2">
        <v>46173.583333333336</v>
      </c>
      <c r="C193" t="s">
        <v>9</v>
      </c>
      <c r="D193" t="s">
        <v>11</v>
      </c>
      <c r="E193" t="s">
        <v>65</v>
      </c>
      <c r="F193" t="s">
        <v>69</v>
      </c>
      <c r="G193">
        <v>1.1200000000000001</v>
      </c>
      <c r="H193">
        <v>6.5</v>
      </c>
      <c r="I193" s="2">
        <v>46168.944224537037</v>
      </c>
    </row>
    <row r="194" spans="1:9" x14ac:dyDescent="0.25">
      <c r="A194">
        <v>129991305</v>
      </c>
      <c r="B194" s="2">
        <v>46173.583333333336</v>
      </c>
      <c r="C194" t="s">
        <v>9</v>
      </c>
      <c r="D194" t="s">
        <v>11</v>
      </c>
      <c r="E194" t="s">
        <v>71</v>
      </c>
      <c r="F194" t="s">
        <v>69</v>
      </c>
      <c r="G194">
        <v>1.1200000000000001</v>
      </c>
      <c r="H194">
        <v>6.25</v>
      </c>
      <c r="I194" s="2">
        <v>46168.944664351853</v>
      </c>
    </row>
    <row r="195" spans="1:9" x14ac:dyDescent="0.25">
      <c r="A195">
        <v>129991305</v>
      </c>
      <c r="B195" s="2">
        <v>46173.583333333336</v>
      </c>
      <c r="C195" t="s">
        <v>9</v>
      </c>
      <c r="D195" t="s">
        <v>11</v>
      </c>
      <c r="E195" t="s">
        <v>67</v>
      </c>
      <c r="F195" t="s">
        <v>69</v>
      </c>
      <c r="G195">
        <v>1.1000000000000001</v>
      </c>
      <c r="H195">
        <v>6.5</v>
      </c>
      <c r="I195" s="2">
        <v>46168.944884259261</v>
      </c>
    </row>
    <row r="196" spans="1:9" x14ac:dyDescent="0.25">
      <c r="A196">
        <v>129991305</v>
      </c>
      <c r="B196" s="2">
        <v>46173.583333333336</v>
      </c>
      <c r="C196" t="s">
        <v>9</v>
      </c>
      <c r="D196" t="s">
        <v>11</v>
      </c>
      <c r="E196" t="s">
        <v>61</v>
      </c>
      <c r="F196" t="s">
        <v>69</v>
      </c>
      <c r="G196">
        <v>1.1100000000000001</v>
      </c>
      <c r="H196">
        <v>6.7</v>
      </c>
      <c r="I196" s="2">
        <v>46168.944224537037</v>
      </c>
    </row>
    <row r="197" spans="1:9" x14ac:dyDescent="0.25">
      <c r="A197">
        <v>129991305</v>
      </c>
      <c r="B197" s="2">
        <v>46173.583333333336</v>
      </c>
      <c r="C197" t="s">
        <v>9</v>
      </c>
      <c r="D197" t="s">
        <v>11</v>
      </c>
      <c r="E197" t="s">
        <v>62</v>
      </c>
      <c r="F197" t="s">
        <v>69</v>
      </c>
      <c r="G197">
        <v>1.1200000000000001</v>
      </c>
      <c r="H197">
        <v>6.2</v>
      </c>
      <c r="I197" s="2">
        <v>46168.944675925923</v>
      </c>
    </row>
    <row r="198" spans="1:9" x14ac:dyDescent="0.25">
      <c r="A198">
        <v>129991305</v>
      </c>
      <c r="B198" s="2">
        <v>46173.583333333336</v>
      </c>
      <c r="C198" t="s">
        <v>9</v>
      </c>
      <c r="D198" t="s">
        <v>11</v>
      </c>
      <c r="E198" t="s">
        <v>72</v>
      </c>
      <c r="F198" t="s">
        <v>69</v>
      </c>
      <c r="G198">
        <v>1.1399999999999999</v>
      </c>
      <c r="H198">
        <v>5.8</v>
      </c>
      <c r="I198" s="2">
        <v>46168.944664351853</v>
      </c>
    </row>
    <row r="199" spans="1:9" x14ac:dyDescent="0.25">
      <c r="A199">
        <v>129991305</v>
      </c>
      <c r="B199" s="2">
        <v>46173.583333333336</v>
      </c>
      <c r="C199" t="s">
        <v>9</v>
      </c>
      <c r="D199" t="s">
        <v>11</v>
      </c>
      <c r="E199" t="s">
        <v>73</v>
      </c>
      <c r="F199" t="s">
        <v>69</v>
      </c>
      <c r="G199">
        <v>1.1299999999999999</v>
      </c>
      <c r="H199">
        <v>5.75</v>
      </c>
      <c r="I199" s="2">
        <v>46168.944675925923</v>
      </c>
    </row>
    <row r="200" spans="1:9" x14ac:dyDescent="0.25">
      <c r="A200">
        <v>129991306</v>
      </c>
      <c r="B200" s="2">
        <v>46173.670138888891</v>
      </c>
      <c r="C200" t="s">
        <v>4</v>
      </c>
      <c r="D200" t="s">
        <v>7</v>
      </c>
      <c r="E200" t="s">
        <v>64</v>
      </c>
      <c r="F200" t="s">
        <v>69</v>
      </c>
      <c r="G200">
        <v>1.74</v>
      </c>
      <c r="H200">
        <v>2.2000000000000002</v>
      </c>
      <c r="I200" s="2">
        <v>46168.944895833331</v>
      </c>
    </row>
    <row r="201" spans="1:9" x14ac:dyDescent="0.25">
      <c r="A201">
        <v>129991306</v>
      </c>
      <c r="B201" s="2">
        <v>46173.670138888891</v>
      </c>
      <c r="C201" t="s">
        <v>4</v>
      </c>
      <c r="D201" t="s">
        <v>7</v>
      </c>
      <c r="E201" t="s">
        <v>66</v>
      </c>
      <c r="F201" t="s">
        <v>69</v>
      </c>
      <c r="G201">
        <v>1.7</v>
      </c>
      <c r="H201">
        <v>2.15</v>
      </c>
      <c r="I201" s="2">
        <v>46168.944224537037</v>
      </c>
    </row>
    <row r="202" spans="1:9" x14ac:dyDescent="0.25">
      <c r="A202">
        <v>129991306</v>
      </c>
      <c r="B202" s="2">
        <v>46173.670138888891</v>
      </c>
      <c r="C202" t="s">
        <v>4</v>
      </c>
      <c r="D202" t="s">
        <v>7</v>
      </c>
      <c r="E202" t="s">
        <v>63</v>
      </c>
      <c r="F202" t="s">
        <v>69</v>
      </c>
      <c r="G202">
        <v>1.65</v>
      </c>
      <c r="H202">
        <v>2.2400000000000002</v>
      </c>
      <c r="I202" s="2">
        <v>46168.944664351853</v>
      </c>
    </row>
    <row r="203" spans="1:9" x14ac:dyDescent="0.25">
      <c r="A203">
        <v>129991306</v>
      </c>
      <c r="B203" s="2">
        <v>46173.670138888891</v>
      </c>
      <c r="C203" t="s">
        <v>4</v>
      </c>
      <c r="D203" t="s">
        <v>7</v>
      </c>
      <c r="E203" t="s">
        <v>70</v>
      </c>
      <c r="F203" t="s">
        <v>69</v>
      </c>
      <c r="G203">
        <v>1.65</v>
      </c>
      <c r="H203">
        <v>2.25</v>
      </c>
      <c r="I203" s="2">
        <v>46168.944884259261</v>
      </c>
    </row>
    <row r="204" spans="1:9" x14ac:dyDescent="0.25">
      <c r="A204">
        <v>129991306</v>
      </c>
      <c r="B204" s="2">
        <v>46173.670138888891</v>
      </c>
      <c r="C204" t="s">
        <v>4</v>
      </c>
      <c r="D204" t="s">
        <v>7</v>
      </c>
      <c r="E204" t="s">
        <v>65</v>
      </c>
      <c r="F204" t="s">
        <v>69</v>
      </c>
      <c r="G204">
        <v>1.65</v>
      </c>
      <c r="H204">
        <v>2.25</v>
      </c>
      <c r="I204" s="2">
        <v>46168.944224537037</v>
      </c>
    </row>
    <row r="205" spans="1:9" x14ac:dyDescent="0.25">
      <c r="A205">
        <v>129991306</v>
      </c>
      <c r="B205" s="2">
        <v>46173.670138888891</v>
      </c>
      <c r="C205" t="s">
        <v>4</v>
      </c>
      <c r="D205" t="s">
        <v>7</v>
      </c>
      <c r="E205" t="s">
        <v>71</v>
      </c>
      <c r="F205" t="s">
        <v>69</v>
      </c>
      <c r="G205">
        <v>1.62</v>
      </c>
      <c r="H205">
        <v>2.2999999999999998</v>
      </c>
      <c r="I205" s="2">
        <v>46168.944664351853</v>
      </c>
    </row>
    <row r="206" spans="1:9" x14ac:dyDescent="0.25">
      <c r="A206">
        <v>129991306</v>
      </c>
      <c r="B206" s="2">
        <v>46173.670138888891</v>
      </c>
      <c r="C206" t="s">
        <v>4</v>
      </c>
      <c r="D206" t="s">
        <v>7</v>
      </c>
      <c r="E206" t="s">
        <v>67</v>
      </c>
      <c r="F206" t="s">
        <v>69</v>
      </c>
      <c r="G206">
        <v>1.6</v>
      </c>
      <c r="H206">
        <v>2.2999999999999998</v>
      </c>
      <c r="I206" s="2">
        <v>46168.944884259261</v>
      </c>
    </row>
    <row r="207" spans="1:9" x14ac:dyDescent="0.25">
      <c r="A207">
        <v>129991306</v>
      </c>
      <c r="B207" s="2">
        <v>46173.670138888891</v>
      </c>
      <c r="C207" t="s">
        <v>4</v>
      </c>
      <c r="D207" t="s">
        <v>7</v>
      </c>
      <c r="E207" t="s">
        <v>61</v>
      </c>
      <c r="F207" t="s">
        <v>69</v>
      </c>
      <c r="G207">
        <v>1.7</v>
      </c>
      <c r="H207">
        <v>2.15</v>
      </c>
      <c r="I207" s="2">
        <v>46168.944224537037</v>
      </c>
    </row>
    <row r="208" spans="1:9" x14ac:dyDescent="0.25">
      <c r="A208">
        <v>129991306</v>
      </c>
      <c r="B208" s="2">
        <v>46173.670138888891</v>
      </c>
      <c r="C208" t="s">
        <v>4</v>
      </c>
      <c r="D208" t="s">
        <v>7</v>
      </c>
      <c r="E208" t="s">
        <v>62</v>
      </c>
      <c r="F208" t="s">
        <v>69</v>
      </c>
      <c r="G208">
        <v>1.62</v>
      </c>
      <c r="H208">
        <v>2.2999999999999998</v>
      </c>
      <c r="I208" s="2">
        <v>46168.944675925923</v>
      </c>
    </row>
    <row r="209" spans="1:9" x14ac:dyDescent="0.25">
      <c r="A209">
        <v>129991306</v>
      </c>
      <c r="B209" s="2">
        <v>46173.670138888891</v>
      </c>
      <c r="C209" t="s">
        <v>4</v>
      </c>
      <c r="D209" t="s">
        <v>7</v>
      </c>
      <c r="E209" t="s">
        <v>72</v>
      </c>
      <c r="F209" t="s">
        <v>69</v>
      </c>
      <c r="G209">
        <v>1.66</v>
      </c>
      <c r="H209">
        <v>2.23</v>
      </c>
      <c r="I209" s="2">
        <v>46168.944664351853</v>
      </c>
    </row>
    <row r="210" spans="1:9" x14ac:dyDescent="0.25">
      <c r="A210">
        <v>129991306</v>
      </c>
      <c r="B210" s="2">
        <v>46173.670138888891</v>
      </c>
      <c r="C210" t="s">
        <v>4</v>
      </c>
      <c r="D210" t="s">
        <v>7</v>
      </c>
      <c r="E210" t="s">
        <v>73</v>
      </c>
      <c r="F210" t="s">
        <v>69</v>
      </c>
      <c r="G210">
        <v>1.65</v>
      </c>
      <c r="H210">
        <v>2.2000000000000002</v>
      </c>
      <c r="I210" s="2">
        <v>46168.944675925923</v>
      </c>
    </row>
    <row r="211" spans="1:9" x14ac:dyDescent="0.25">
      <c r="A211">
        <v>129991307</v>
      </c>
      <c r="B211" s="2">
        <v>46173.760416666664</v>
      </c>
      <c r="C211" t="s">
        <v>16</v>
      </c>
      <c r="D211" t="s">
        <v>13</v>
      </c>
      <c r="E211" t="s">
        <v>64</v>
      </c>
      <c r="F211" t="s">
        <v>69</v>
      </c>
      <c r="G211">
        <v>1.51</v>
      </c>
      <c r="H211">
        <v>2.2599999999999998</v>
      </c>
      <c r="I211" s="2">
        <v>46168.944895833331</v>
      </c>
    </row>
    <row r="212" spans="1:9" x14ac:dyDescent="0.25">
      <c r="A212">
        <v>129991307</v>
      </c>
      <c r="B212" s="2">
        <v>46173.760416666664</v>
      </c>
      <c r="C212" t="s">
        <v>16</v>
      </c>
      <c r="D212" t="s">
        <v>13</v>
      </c>
      <c r="E212" t="s">
        <v>66</v>
      </c>
      <c r="F212" t="s">
        <v>69</v>
      </c>
      <c r="G212">
        <v>1.65</v>
      </c>
      <c r="H212">
        <v>2.25</v>
      </c>
      <c r="I212" s="2">
        <v>46168.944224537037</v>
      </c>
    </row>
    <row r="213" spans="1:9" x14ac:dyDescent="0.25">
      <c r="A213">
        <v>129991307</v>
      </c>
      <c r="B213" s="2">
        <v>46173.760416666664</v>
      </c>
      <c r="C213" t="s">
        <v>16</v>
      </c>
      <c r="D213" t="s">
        <v>13</v>
      </c>
      <c r="E213" t="s">
        <v>63</v>
      </c>
      <c r="F213" t="s">
        <v>69</v>
      </c>
      <c r="G213">
        <v>1.67</v>
      </c>
      <c r="H213">
        <v>2.2000000000000002</v>
      </c>
      <c r="I213" s="2">
        <v>46168.944664351853</v>
      </c>
    </row>
    <row r="214" spans="1:9" x14ac:dyDescent="0.25">
      <c r="A214">
        <v>129991307</v>
      </c>
      <c r="B214" s="2">
        <v>46173.760416666664</v>
      </c>
      <c r="C214" t="s">
        <v>16</v>
      </c>
      <c r="D214" t="s">
        <v>13</v>
      </c>
      <c r="E214" t="s">
        <v>70</v>
      </c>
      <c r="F214" t="s">
        <v>69</v>
      </c>
      <c r="G214">
        <v>1.67</v>
      </c>
      <c r="H214">
        <v>2.2000000000000002</v>
      </c>
      <c r="I214" s="2">
        <v>46168.944884259261</v>
      </c>
    </row>
    <row r="215" spans="1:9" x14ac:dyDescent="0.25">
      <c r="A215">
        <v>129991307</v>
      </c>
      <c r="B215" s="2">
        <v>46173.760416666664</v>
      </c>
      <c r="C215" t="s">
        <v>16</v>
      </c>
      <c r="D215" t="s">
        <v>13</v>
      </c>
      <c r="E215" t="s">
        <v>65</v>
      </c>
      <c r="F215" t="s">
        <v>69</v>
      </c>
      <c r="G215">
        <v>1.67</v>
      </c>
      <c r="H215">
        <v>2.2000000000000002</v>
      </c>
      <c r="I215" s="2">
        <v>46168.944224537037</v>
      </c>
    </row>
    <row r="216" spans="1:9" x14ac:dyDescent="0.25">
      <c r="A216">
        <v>129991307</v>
      </c>
      <c r="B216" s="2">
        <v>46173.760416666664</v>
      </c>
      <c r="C216" t="s">
        <v>16</v>
      </c>
      <c r="D216" t="s">
        <v>13</v>
      </c>
      <c r="E216" t="s">
        <v>71</v>
      </c>
      <c r="F216" t="s">
        <v>69</v>
      </c>
      <c r="G216">
        <v>1.62</v>
      </c>
      <c r="H216">
        <v>2.2999999999999998</v>
      </c>
      <c r="I216" s="2">
        <v>46168.944664351853</v>
      </c>
    </row>
    <row r="217" spans="1:9" x14ac:dyDescent="0.25">
      <c r="A217">
        <v>129991307</v>
      </c>
      <c r="B217" s="2">
        <v>46173.760416666664</v>
      </c>
      <c r="C217" t="s">
        <v>16</v>
      </c>
      <c r="D217" t="s">
        <v>13</v>
      </c>
      <c r="E217" t="s">
        <v>67</v>
      </c>
      <c r="F217" t="s">
        <v>69</v>
      </c>
      <c r="G217">
        <v>1.55</v>
      </c>
      <c r="H217">
        <v>2.4</v>
      </c>
      <c r="I217" s="2">
        <v>46168.944884259261</v>
      </c>
    </row>
    <row r="218" spans="1:9" x14ac:dyDescent="0.25">
      <c r="A218">
        <v>129991307</v>
      </c>
      <c r="B218" s="2">
        <v>46173.760416666664</v>
      </c>
      <c r="C218" t="s">
        <v>16</v>
      </c>
      <c r="D218" t="s">
        <v>13</v>
      </c>
      <c r="E218" t="s">
        <v>61</v>
      </c>
      <c r="F218" t="s">
        <v>69</v>
      </c>
      <c r="G218">
        <v>1.64</v>
      </c>
      <c r="H218">
        <v>2.2599999999999998</v>
      </c>
      <c r="I218" s="2">
        <v>46168.944224537037</v>
      </c>
    </row>
    <row r="219" spans="1:9" x14ac:dyDescent="0.25">
      <c r="A219">
        <v>129991307</v>
      </c>
      <c r="B219" s="2">
        <v>46173.760416666664</v>
      </c>
      <c r="C219" t="s">
        <v>16</v>
      </c>
      <c r="D219" t="s">
        <v>13</v>
      </c>
      <c r="E219" t="s">
        <v>62</v>
      </c>
      <c r="F219" t="s">
        <v>69</v>
      </c>
      <c r="G219">
        <v>1.67</v>
      </c>
      <c r="H219">
        <v>2.2000000000000002</v>
      </c>
      <c r="I219" s="2">
        <v>46168.944675925923</v>
      </c>
    </row>
    <row r="220" spans="1:9" x14ac:dyDescent="0.25">
      <c r="A220">
        <v>129991307</v>
      </c>
      <c r="B220" s="2">
        <v>46173.760416666664</v>
      </c>
      <c r="C220" t="s">
        <v>16</v>
      </c>
      <c r="D220" t="s">
        <v>13</v>
      </c>
      <c r="E220" t="s">
        <v>72</v>
      </c>
      <c r="F220" t="s">
        <v>69</v>
      </c>
      <c r="G220">
        <v>1.6</v>
      </c>
      <c r="H220">
        <v>2.35</v>
      </c>
      <c r="I220" s="2">
        <v>46168.944664351853</v>
      </c>
    </row>
    <row r="221" spans="1:9" x14ac:dyDescent="0.25">
      <c r="A221">
        <v>129991307</v>
      </c>
      <c r="B221" s="2">
        <v>46173.760416666664</v>
      </c>
      <c r="C221" t="s">
        <v>16</v>
      </c>
      <c r="D221" t="s">
        <v>13</v>
      </c>
      <c r="E221" t="s">
        <v>73</v>
      </c>
      <c r="F221" t="s">
        <v>69</v>
      </c>
      <c r="G221">
        <v>1.58</v>
      </c>
      <c r="H221">
        <v>2.33</v>
      </c>
      <c r="I221" s="2">
        <v>46168.944675925923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13.85546875" bestFit="1" customWidth="1"/>
    <col min="4" max="4" width="13.42578125" bestFit="1" customWidth="1"/>
    <col min="5" max="5" width="13.5703125" bestFit="1" customWidth="1"/>
    <col min="6" max="6" width="13" bestFit="1" customWidth="1"/>
    <col min="7" max="7" width="14.140625" bestFit="1" customWidth="1"/>
    <col min="8" max="8" width="15.85546875" bestFit="1" customWidth="1"/>
  </cols>
  <sheetData>
    <row r="1" spans="1:8" x14ac:dyDescent="0.25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25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25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25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25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25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25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25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25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25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25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25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25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25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25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25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25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25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25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25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25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25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25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25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25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25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25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25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25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25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25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25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25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25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25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25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25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25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25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25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25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25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25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25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25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25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25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25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25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25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25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25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25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25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25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25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25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25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25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25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25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25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25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25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25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25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25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25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25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25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25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25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25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25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25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25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25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25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25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25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25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25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25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25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25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25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25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25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5" x14ac:dyDescent="0.25"/>
  <cols>
    <col min="1" max="1" width="11.42578125" bestFit="1" customWidth="1"/>
    <col min="2" max="2" width="10.5703125" bestFit="1" customWidth="1"/>
    <col min="3" max="3" width="14" bestFit="1" customWidth="1"/>
    <col min="4" max="4" width="13.42578125" bestFit="1" customWidth="1"/>
    <col min="5" max="5" width="12.85546875" bestFit="1" customWidth="1"/>
    <col min="6" max="6" width="12.42578125" bestFit="1" customWidth="1"/>
    <col min="7" max="7" width="13.28515625" bestFit="1" customWidth="1"/>
    <col min="8" max="9" width="14" bestFit="1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25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25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25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25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25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25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25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2026-05-28T14:31:02Z</dcterms:modified>
</cp:coreProperties>
</file>