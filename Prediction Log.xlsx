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Modelling/nrl-model/"/>
    </mc:Choice>
  </mc:AlternateContent>
  <xr:revisionPtr revIDLastSave="944" documentId="11_F25DC773A252ABDACC1048EDD159412A5BDE58E9" xr6:coauthVersionLast="47" xr6:coauthVersionMax="47" xr10:uidLastSave="{C49D664C-13EC-4697-AE7C-62E4544840D6}"/>
  <bookViews>
    <workbookView xWindow="-120" yWindow="-120" windowWidth="29040" windowHeight="15720" xr2:uid="{00000000-000D-0000-FFFF-FFFF00000000}"/>
  </bookViews>
  <sheets>
    <sheet name="Fact Betting Table" sheetId="17" r:id="rId1"/>
    <sheet name="prediction_log" sheetId="2" r:id="rId2"/>
    <sheet name="odds_log" sheetId="16" r:id="rId3"/>
    <sheet name="odd_log" sheetId="11" r:id="rId4"/>
    <sheet name="bets_log" sheetId="12" r:id="rId5"/>
  </sheets>
  <definedNames>
    <definedName name="ExternalData_1" localSheetId="3" hidden="1">odd_log!$A$1:$H$89</definedName>
    <definedName name="ExternalData_1" localSheetId="1" hidden="1">prediction_log!$A$1:$G$101</definedName>
    <definedName name="ExternalData_2" localSheetId="4" hidden="1">bets_log!$A$1:$H$9</definedName>
    <definedName name="ExternalData_3" localSheetId="2" hidden="1">odds_log!$A$1:$I$837</definedName>
    <definedName name="ExternalData_4" localSheetId="0" hidden="1">'Fact Betting Table'!$A$1:$L$101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7" l="1" a="1"/>
  <c r="M3" i="17" a="1"/>
  <c r="N3" i="17" s="1" a="1"/>
  <c r="M4" i="17" a="1"/>
  <c r="M5" i="17" a="1"/>
  <c r="M6" i="17" a="1"/>
  <c r="M7" i="17" a="1"/>
  <c r="N7" i="17" s="1" a="1"/>
  <c r="M8" i="17" a="1"/>
  <c r="M9" i="17" a="1"/>
  <c r="N9" i="17" s="1" a="1"/>
  <c r="M10" i="17" a="1"/>
  <c r="N10" i="17" s="1" a="1"/>
  <c r="M11" i="17" a="1"/>
  <c r="N11" i="17" s="1" a="1"/>
  <c r="M12" i="17" a="1"/>
  <c r="M13" i="17" a="1"/>
  <c r="M14" i="17" a="1"/>
  <c r="M15" i="17" a="1"/>
  <c r="M16" i="17" a="1"/>
  <c r="M17" i="17" a="1"/>
  <c r="M18" i="17" a="1"/>
  <c r="M19" i="17" a="1"/>
  <c r="M20" i="17" a="1"/>
  <c r="M21" i="17" a="1"/>
  <c r="M22" i="17" a="1"/>
  <c r="N22" i="17" s="1" a="1"/>
  <c r="M23" i="17" a="1"/>
  <c r="N23" i="17" s="1" a="1"/>
  <c r="M24" i="17" a="1"/>
  <c r="M25" i="17" a="1"/>
  <c r="M26" i="17" a="1"/>
  <c r="M27" i="17" a="1"/>
  <c r="M28" i="17" a="1"/>
  <c r="M29" i="17" a="1"/>
  <c r="M30" i="17" a="1"/>
  <c r="M31" i="17" a="1"/>
  <c r="M32" i="17" a="1"/>
  <c r="M33" i="17" a="1"/>
  <c r="M34" i="17" a="1"/>
  <c r="M35" i="17" a="1"/>
  <c r="M36" i="17" a="1"/>
  <c r="M37" i="17" a="1"/>
  <c r="M38" i="17" a="1"/>
  <c r="M39" i="17" a="1"/>
  <c r="M40" i="17" a="1"/>
  <c r="M41" i="17" a="1"/>
  <c r="M42" i="17" a="1"/>
  <c r="M43" i="17" a="1"/>
  <c r="M44" i="17" a="1"/>
  <c r="M45" i="17" a="1"/>
  <c r="M46" i="17" a="1"/>
  <c r="M47" i="17" a="1"/>
  <c r="M48" i="17" a="1"/>
  <c r="M49" i="17" a="1"/>
  <c r="M50" i="17" a="1"/>
  <c r="M51" i="17" a="1"/>
  <c r="M52" i="17" a="1"/>
  <c r="N52" i="17" s="1" a="1"/>
  <c r="P52" i="17" s="1"/>
  <c r="M53" i="17" a="1"/>
  <c r="N53" i="17" s="1" a="1"/>
  <c r="P53" i="17" s="1"/>
  <c r="M54" i="17" a="1"/>
  <c r="N54" i="17" s="1" a="1"/>
  <c r="P54" i="17" s="1"/>
  <c r="M55" i="17" a="1"/>
  <c r="N55" i="17" s="1" a="1"/>
  <c r="P55" i="17" s="1"/>
  <c r="M56" i="17" a="1"/>
  <c r="N56" i="17" s="1" a="1"/>
  <c r="P56" i="17" s="1"/>
  <c r="M57" i="17" a="1"/>
  <c r="N57" i="17" s="1" a="1"/>
  <c r="P57" i="17" s="1"/>
  <c r="M58" i="17" a="1"/>
  <c r="N58" i="17" s="1" a="1"/>
  <c r="P58" i="17" s="1"/>
  <c r="M59" i="17" a="1"/>
  <c r="N59" i="17" s="1" a="1"/>
  <c r="P59" i="17" s="1"/>
  <c r="M60" i="17" a="1"/>
  <c r="N60" i="17" s="1" a="1"/>
  <c r="P60" i="17" s="1"/>
  <c r="M61" i="17" a="1"/>
  <c r="N61" i="17" s="1" a="1"/>
  <c r="P61" i="17" s="1"/>
  <c r="M62" i="17" a="1"/>
  <c r="N62" i="17" s="1" a="1"/>
  <c r="P62" i="17" s="1"/>
  <c r="M63" i="17" a="1"/>
  <c r="N63" i="17" s="1" a="1"/>
  <c r="P63" i="17" s="1"/>
  <c r="M64" i="17" a="1"/>
  <c r="N64" i="17" s="1" a="1"/>
  <c r="P64" i="17" s="1"/>
  <c r="M65" i="17" a="1"/>
  <c r="N65" i="17" s="1" a="1"/>
  <c r="P65" i="17" s="1"/>
  <c r="M66" i="17" a="1"/>
  <c r="N66" i="17" s="1" a="1"/>
  <c r="P66" i="17" s="1"/>
  <c r="M67" i="17" a="1"/>
  <c r="N67" i="17" s="1" a="1"/>
  <c r="P67" i="17" s="1"/>
  <c r="M68" i="17" a="1"/>
  <c r="N68" i="17" s="1" a="1"/>
  <c r="P68" i="17" s="1"/>
  <c r="M69" i="17" a="1"/>
  <c r="N69" i="17" s="1" a="1"/>
  <c r="P69" i="17" s="1"/>
  <c r="M70" i="17" a="1"/>
  <c r="N70" i="17" s="1" a="1"/>
  <c r="P70" i="17" s="1"/>
  <c r="M71" i="17" a="1"/>
  <c r="N71" i="17" s="1" a="1"/>
  <c r="P71" i="17" s="1"/>
  <c r="M72" i="17" a="1"/>
  <c r="N72" i="17" s="1" a="1"/>
  <c r="P72" i="17" s="1"/>
  <c r="M73" i="17" a="1"/>
  <c r="N73" i="17" s="1" a="1"/>
  <c r="P73" i="17" s="1"/>
  <c r="M74" i="17" a="1"/>
  <c r="N74" i="17" s="1" a="1"/>
  <c r="P74" i="17" s="1"/>
  <c r="M75" i="17" a="1"/>
  <c r="N75" i="17" s="1" a="1"/>
  <c r="P75" i="17" s="1"/>
  <c r="M76" i="17" a="1"/>
  <c r="N76" i="17" s="1" a="1"/>
  <c r="P76" i="17" s="1"/>
  <c r="M77" i="17" a="1"/>
  <c r="N77" i="17" s="1" a="1"/>
  <c r="P77" i="17" s="1"/>
  <c r="M78" i="17" a="1"/>
  <c r="N78" i="17" s="1" a="1"/>
  <c r="P78" i="17" s="1"/>
  <c r="M79" i="17" a="1"/>
  <c r="N79" i="17" s="1" a="1"/>
  <c r="P79" i="17" s="1"/>
  <c r="M80" i="17" a="1"/>
  <c r="N80" i="17" s="1" a="1"/>
  <c r="P80" i="17" s="1"/>
  <c r="M81" i="17" a="1"/>
  <c r="N81" i="17" s="1" a="1"/>
  <c r="P81" i="17" s="1"/>
  <c r="M82" i="17" a="1"/>
  <c r="N82" i="17" s="1" a="1"/>
  <c r="P82" i="17" s="1"/>
  <c r="M83" i="17" a="1"/>
  <c r="N83" i="17" s="1" a="1"/>
  <c r="P83" i="17" s="1"/>
  <c r="M84" i="17" a="1"/>
  <c r="N84" i="17" s="1" a="1"/>
  <c r="P84" i="17" s="1"/>
  <c r="M85" i="17" a="1"/>
  <c r="N85" i="17" s="1" a="1"/>
  <c r="P85" i="17" s="1"/>
  <c r="M86" i="17" a="1"/>
  <c r="N86" i="17" s="1" a="1"/>
  <c r="P86" i="17" s="1"/>
  <c r="M87" i="17" a="1"/>
  <c r="N87" i="17" s="1" a="1"/>
  <c r="P87" i="17" s="1"/>
  <c r="M88" i="17" a="1"/>
  <c r="N88" i="17" s="1" a="1"/>
  <c r="P88" i="17" s="1"/>
  <c r="M89" i="17" a="1"/>
  <c r="N89" i="17" s="1" a="1"/>
  <c r="P89" i="17" s="1"/>
  <c r="M90" i="17" a="1"/>
  <c r="N90" i="17" s="1" a="1"/>
  <c r="P90" i="17" s="1"/>
  <c r="M91" i="17" a="1"/>
  <c r="N91" i="17" s="1" a="1"/>
  <c r="P91" i="17" s="1"/>
  <c r="M92" i="17" a="1"/>
  <c r="N92" i="17" s="1" a="1"/>
  <c r="P92" i="17" s="1"/>
  <c r="M93" i="17" a="1"/>
  <c r="N93" i="17" s="1" a="1"/>
  <c r="P93" i="17" s="1"/>
  <c r="M94" i="17" a="1"/>
  <c r="N94" i="17" s="1" a="1"/>
  <c r="M95" i="17" a="1"/>
  <c r="N95" i="17" s="1" a="1"/>
  <c r="M96" i="17" a="1"/>
  <c r="N96" i="17" s="1" a="1"/>
  <c r="M97" i="17" a="1"/>
  <c r="N97" i="17" s="1" a="1"/>
  <c r="M98" i="17" a="1"/>
  <c r="N98" i="17" s="1" a="1"/>
  <c r="M99" i="17" a="1"/>
  <c r="N99" i="17" s="1" a="1"/>
  <c r="M100" i="17" a="1"/>
  <c r="N100" i="17" s="1" a="1"/>
  <c r="M101" i="17" a="1"/>
  <c r="N101" i="17" s="1" a="1"/>
  <c r="P101" i="17" s="1"/>
  <c r="N2" i="17" a="1"/>
  <c r="N4" i="17" a="1"/>
  <c r="N5" i="17" a="1"/>
  <c r="N6" i="17" a="1"/>
  <c r="N8" i="17" a="1"/>
  <c r="N12" i="17" a="1"/>
  <c r="N13" i="17" a="1"/>
  <c r="N14" i="17" a="1"/>
  <c r="N15" i="17" a="1"/>
  <c r="N16" i="17" a="1"/>
  <c r="N17" i="17" a="1"/>
  <c r="N18" i="17" a="1"/>
  <c r="N19" i="17" a="1"/>
  <c r="N20" i="17" a="1"/>
  <c r="N21" i="17" a="1"/>
  <c r="N24" i="17" a="1"/>
  <c r="N25" i="17" a="1"/>
  <c r="N26" i="17" a="1"/>
  <c r="P26" i="17" s="1"/>
  <c r="N27" i="17" a="1"/>
  <c r="P27" i="17" s="1"/>
  <c r="N28" i="17" a="1"/>
  <c r="P28" i="17" s="1"/>
  <c r="N29" i="17" a="1"/>
  <c r="P29" i="17" s="1"/>
  <c r="N30" i="17" a="1"/>
  <c r="P30" i="17" s="1"/>
  <c r="N31" i="17" a="1"/>
  <c r="P31" i="17" s="1"/>
  <c r="N32" i="17" a="1"/>
  <c r="P32" i="17" s="1"/>
  <c r="N33" i="17" a="1"/>
  <c r="P33" i="17" s="1"/>
  <c r="N34" i="17" a="1"/>
  <c r="P34" i="17" s="1"/>
  <c r="N35" i="17" a="1"/>
  <c r="P35" i="17" s="1"/>
  <c r="N36" i="17" a="1"/>
  <c r="P36" i="17" s="1"/>
  <c r="N37" i="17" a="1"/>
  <c r="P37" i="17" s="1"/>
  <c r="N38" i="17" a="1"/>
  <c r="P38" i="17" s="1"/>
  <c r="N39" i="17" a="1"/>
  <c r="P39" i="17" s="1"/>
  <c r="N40" i="17" a="1"/>
  <c r="P40" i="17" s="1"/>
  <c r="N41" i="17" a="1"/>
  <c r="P41" i="17" s="1"/>
  <c r="N42" i="17" a="1"/>
  <c r="P42" i="17" s="1"/>
  <c r="N43" i="17" a="1"/>
  <c r="P43" i="17" s="1"/>
  <c r="N44" i="17" a="1"/>
  <c r="P44" i="17" s="1"/>
  <c r="N45" i="17" a="1"/>
  <c r="P45" i="17" s="1"/>
  <c r="N46" i="17" a="1"/>
  <c r="P46" i="17" s="1"/>
  <c r="N47" i="17" a="1"/>
  <c r="P47" i="17" s="1"/>
  <c r="N48" i="17" a="1"/>
  <c r="P48" i="17" s="1"/>
  <c r="N49" i="17" a="1"/>
  <c r="P49" i="17" s="1"/>
  <c r="N50" i="17" a="1"/>
  <c r="P50" i="17" s="1"/>
  <c r="N51" i="17" a="1"/>
  <c r="P51" i="17" s="1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94" i="17"/>
  <c r="P95" i="17"/>
  <c r="P96" i="17"/>
  <c r="P97" i="17"/>
  <c r="P98" i="17"/>
  <c r="P99" i="17"/>
  <c r="P100" i="17"/>
  <c r="Q2" i="17" a="1"/>
  <c r="T2" i="17" s="1"/>
  <c r="Q3" i="17" a="1"/>
  <c r="T3" i="17" s="1"/>
  <c r="Q4" i="17" a="1"/>
  <c r="T4" i="17" s="1"/>
  <c r="Q5" i="17" a="1"/>
  <c r="T5" i="17" s="1"/>
  <c r="Q6" i="17" a="1"/>
  <c r="T6" i="17" s="1"/>
  <c r="Q7" i="17" a="1"/>
  <c r="T7" i="17" s="1"/>
  <c r="Q8" i="17" a="1"/>
  <c r="T8" i="17" s="1"/>
  <c r="Q9" i="17" a="1"/>
  <c r="T9" i="17" s="1"/>
  <c r="Q10" i="17" a="1"/>
  <c r="T10" i="17" s="1"/>
  <c r="Q11" i="17" a="1"/>
  <c r="T11" i="17" s="1"/>
  <c r="Q12" i="17" a="1"/>
  <c r="T12" i="17" s="1"/>
  <c r="Q13" i="17" a="1"/>
  <c r="T13" i="17" s="1"/>
  <c r="Q14" i="17" a="1"/>
  <c r="T14" i="17" s="1"/>
  <c r="Q15" i="17" a="1"/>
  <c r="T15" i="17" s="1"/>
  <c r="Q16" i="17" a="1"/>
  <c r="T16" i="17" s="1"/>
  <c r="Q17" i="17" a="1"/>
  <c r="T17" i="17" s="1"/>
  <c r="Q18" i="17" a="1"/>
  <c r="T18" i="17" s="1"/>
  <c r="Q19" i="17" a="1"/>
  <c r="T19" i="17" s="1"/>
  <c r="Q20" i="17" a="1"/>
  <c r="T20" i="17" s="1"/>
  <c r="Q21" i="17" a="1"/>
  <c r="T21" i="17" s="1"/>
  <c r="Q22" i="17" a="1"/>
  <c r="T22" i="17" s="1"/>
  <c r="Q23" i="17" a="1"/>
  <c r="T23" i="17" s="1"/>
  <c r="Q24" i="17" a="1"/>
  <c r="T24" i="17" s="1"/>
  <c r="Q25" i="17" a="1"/>
  <c r="T25" i="17" s="1"/>
  <c r="Q26" i="17" a="1"/>
  <c r="T26" i="17" s="1"/>
  <c r="Q27" i="17" a="1"/>
  <c r="T27" i="17" s="1"/>
  <c r="Q28" i="17" a="1"/>
  <c r="T28" i="17" s="1"/>
  <c r="Q29" i="17" a="1"/>
  <c r="T29" i="17" s="1"/>
  <c r="Q30" i="17" a="1"/>
  <c r="T30" i="17" s="1"/>
  <c r="Q31" i="17" a="1"/>
  <c r="T31" i="17" s="1"/>
  <c r="Q32" i="17" a="1"/>
  <c r="T32" i="17" s="1"/>
  <c r="Q33" i="17" a="1"/>
  <c r="T33" i="17" s="1"/>
  <c r="Q34" i="17" a="1"/>
  <c r="T34" i="17" s="1"/>
  <c r="Q35" i="17" a="1"/>
  <c r="T35" i="17" s="1"/>
  <c r="Q36" i="17" a="1"/>
  <c r="T36" i="17" s="1"/>
  <c r="Q37" i="17" a="1"/>
  <c r="T37" i="17" s="1"/>
  <c r="Q38" i="17" a="1"/>
  <c r="T38" i="17" s="1"/>
  <c r="Q39" i="17" a="1"/>
  <c r="T39" i="17" s="1"/>
  <c r="Q40" i="17" a="1"/>
  <c r="T40" i="17" s="1"/>
  <c r="Q41" i="17" a="1"/>
  <c r="T41" i="17" s="1"/>
  <c r="Q42" i="17" a="1"/>
  <c r="T42" i="17" s="1"/>
  <c r="Q43" i="17" a="1"/>
  <c r="T43" i="17" s="1"/>
  <c r="Q44" i="17" a="1"/>
  <c r="T44" i="17" s="1"/>
  <c r="Q45" i="17" a="1"/>
  <c r="T45" i="17" s="1"/>
  <c r="Q46" i="17" a="1"/>
  <c r="T46" i="17" s="1"/>
  <c r="Q47" i="17" a="1"/>
  <c r="T47" i="17" s="1"/>
  <c r="Q48" i="17" a="1"/>
  <c r="T48" i="17" s="1"/>
  <c r="Q49" i="17" a="1"/>
  <c r="T49" i="17" s="1"/>
  <c r="Q50" i="17" a="1"/>
  <c r="T50" i="17" s="1"/>
  <c r="Q51" i="17" a="1"/>
  <c r="T51" i="17" s="1"/>
  <c r="Q52" i="17" a="1"/>
  <c r="T52" i="17" s="1"/>
  <c r="Q53" i="17" a="1"/>
  <c r="T53" i="17" s="1"/>
  <c r="Q54" i="17" a="1"/>
  <c r="T54" i="17" s="1"/>
  <c r="Q55" i="17" a="1"/>
  <c r="T55" i="17" s="1"/>
  <c r="Q56" i="17" a="1"/>
  <c r="T56" i="17" s="1"/>
  <c r="Q57" i="17" a="1"/>
  <c r="T57" i="17" s="1"/>
  <c r="Q58" i="17" a="1"/>
  <c r="T58" i="17" s="1"/>
  <c r="Q59" i="17" a="1"/>
  <c r="T59" i="17" s="1"/>
  <c r="Q60" i="17" a="1"/>
  <c r="T60" i="17" s="1"/>
  <c r="Q61" i="17" a="1"/>
  <c r="T61" i="17" s="1"/>
  <c r="Q62" i="17" a="1"/>
  <c r="T62" i="17" s="1"/>
  <c r="Q63" i="17" a="1"/>
  <c r="T63" i="17" s="1"/>
  <c r="Q64" i="17" a="1"/>
  <c r="T64" i="17" s="1"/>
  <c r="Q65" i="17" a="1"/>
  <c r="T65" i="17" s="1"/>
  <c r="Q66" i="17" a="1"/>
  <c r="T66" i="17" s="1"/>
  <c r="Q67" i="17" a="1"/>
  <c r="T67" i="17" s="1"/>
  <c r="Q68" i="17" a="1"/>
  <c r="T68" i="17" s="1"/>
  <c r="Q69" i="17" a="1"/>
  <c r="T69" i="17" s="1"/>
  <c r="Q70" i="17" a="1"/>
  <c r="T70" i="17" s="1"/>
  <c r="Q71" i="17" a="1"/>
  <c r="T71" i="17" s="1"/>
  <c r="Q72" i="17" a="1"/>
  <c r="T72" i="17" s="1"/>
  <c r="Q73" i="17" a="1"/>
  <c r="T73" i="17" s="1"/>
  <c r="Q74" i="17" a="1"/>
  <c r="T74" i="17" s="1"/>
  <c r="Q75" i="17" a="1"/>
  <c r="T75" i="17" s="1"/>
  <c r="Q76" i="17" a="1"/>
  <c r="T76" i="17" s="1"/>
  <c r="Q77" i="17" a="1"/>
  <c r="T77" i="17" s="1"/>
  <c r="Q78" i="17" a="1"/>
  <c r="T78" i="17" s="1"/>
  <c r="Q79" i="17" a="1"/>
  <c r="T79" i="17" s="1"/>
  <c r="Q80" i="17" a="1"/>
  <c r="T80" i="17" s="1"/>
  <c r="Q81" i="17" a="1"/>
  <c r="T81" i="17" s="1"/>
  <c r="Q82" i="17" a="1"/>
  <c r="T82" i="17" s="1"/>
  <c r="Q83" i="17" a="1"/>
  <c r="T83" i="17" s="1"/>
  <c r="Q84" i="17" a="1"/>
  <c r="T84" i="17" s="1"/>
  <c r="Q85" i="17" a="1"/>
  <c r="T85" i="17" s="1"/>
  <c r="Q86" i="17" a="1"/>
  <c r="T86" i="17" s="1"/>
  <c r="Q87" i="17" a="1"/>
  <c r="T87" i="17" s="1"/>
  <c r="Q88" i="17" a="1"/>
  <c r="T88" i="17" s="1"/>
  <c r="Q89" i="17" a="1"/>
  <c r="T89" i="17" s="1"/>
  <c r="Q90" i="17" a="1"/>
  <c r="T90" i="17" s="1"/>
  <c r="Q91" i="17" a="1"/>
  <c r="T91" i="17" s="1"/>
  <c r="Q92" i="17" a="1"/>
  <c r="T92" i="17" s="1"/>
  <c r="Q93" i="17" a="1"/>
  <c r="T93" i="17" s="1"/>
  <c r="Q94" i="17" a="1"/>
  <c r="Q95" i="17" a="1"/>
  <c r="Q96" i="17" a="1"/>
  <c r="Q97" i="17" a="1"/>
  <c r="Q98" i="17" a="1"/>
  <c r="Q99" i="17" a="1"/>
  <c r="Q100" i="17" a="1"/>
  <c r="Q101" i="17" a="1"/>
  <c r="T101" i="17" s="1"/>
  <c r="S2" i="17" a="1"/>
  <c r="S3" i="17" a="1"/>
  <c r="S4" i="17" a="1"/>
  <c r="S5" i="17" a="1"/>
  <c r="S6" i="17" a="1"/>
  <c r="S7" i="17" a="1"/>
  <c r="S8" i="17" a="1"/>
  <c r="S9" i="17" a="1"/>
  <c r="S10" i="17" a="1"/>
  <c r="S11" i="17" a="1"/>
  <c r="S12" i="17" a="1"/>
  <c r="S13" i="17" a="1"/>
  <c r="S14" i="17" a="1"/>
  <c r="S15" i="17" a="1"/>
  <c r="S16" i="17" a="1"/>
  <c r="S17" i="17" a="1"/>
  <c r="S18" i="17" a="1"/>
  <c r="S19" i="17" a="1"/>
  <c r="S20" i="17" a="1"/>
  <c r="S21" i="17" a="1"/>
  <c r="S22" i="17" a="1"/>
  <c r="S23" i="17" a="1"/>
  <c r="S24" i="17" a="1"/>
  <c r="S25" i="17" a="1"/>
  <c r="S26" i="17" a="1"/>
  <c r="S27" i="17" a="1"/>
  <c r="S28" i="17" a="1"/>
  <c r="S29" i="17" a="1"/>
  <c r="S30" i="17" a="1"/>
  <c r="S31" i="17" a="1"/>
  <c r="S32" i="17" a="1"/>
  <c r="S33" i="17" a="1"/>
  <c r="S34" i="17" a="1"/>
  <c r="S35" i="17" a="1"/>
  <c r="S36" i="17" a="1"/>
  <c r="S37" i="17" a="1"/>
  <c r="S38" i="17" a="1"/>
  <c r="S39" i="17" a="1"/>
  <c r="S40" i="17" a="1"/>
  <c r="S41" i="17" a="1"/>
  <c r="S42" i="17" a="1"/>
  <c r="S43" i="17" a="1"/>
  <c r="S44" i="17" a="1"/>
  <c r="S45" i="17" a="1"/>
  <c r="S46" i="17" a="1"/>
  <c r="S47" i="17" a="1"/>
  <c r="S48" i="17" a="1"/>
  <c r="S49" i="17" a="1"/>
  <c r="S50" i="17" a="1"/>
  <c r="S51" i="17" a="1"/>
  <c r="S52" i="17" a="1"/>
  <c r="S53" i="17" a="1"/>
  <c r="S54" i="17" a="1"/>
  <c r="S55" i="17" a="1"/>
  <c r="S56" i="17" a="1"/>
  <c r="S57" i="17" a="1"/>
  <c r="S58" i="17" a="1"/>
  <c r="S59" i="17" a="1"/>
  <c r="S60" i="17" a="1"/>
  <c r="S61" i="17" a="1"/>
  <c r="S62" i="17" a="1"/>
  <c r="S63" i="17" a="1"/>
  <c r="S64" i="17" a="1"/>
  <c r="S65" i="17" a="1"/>
  <c r="S66" i="17" a="1"/>
  <c r="S67" i="17" a="1"/>
  <c r="S68" i="17" a="1"/>
  <c r="S69" i="17" a="1"/>
  <c r="S70" i="17" a="1"/>
  <c r="S71" i="17" a="1"/>
  <c r="S72" i="17" a="1"/>
  <c r="S73" i="17" a="1"/>
  <c r="S74" i="17" a="1"/>
  <c r="S75" i="17" a="1"/>
  <c r="S76" i="17" a="1"/>
  <c r="S77" i="17" a="1"/>
  <c r="S78" i="17" a="1"/>
  <c r="S79" i="17" a="1"/>
  <c r="S80" i="17" a="1"/>
  <c r="S81" i="17" a="1"/>
  <c r="S82" i="17" a="1"/>
  <c r="S83" i="17" a="1"/>
  <c r="S84" i="17" a="1"/>
  <c r="S85" i="17" a="1"/>
  <c r="S86" i="17" a="1"/>
  <c r="S87" i="17" a="1"/>
  <c r="S88" i="17" a="1"/>
  <c r="S89" i="17" a="1"/>
  <c r="S90" i="17" a="1"/>
  <c r="S91" i="17" a="1"/>
  <c r="S92" i="17" a="1"/>
  <c r="S93" i="17" a="1"/>
  <c r="S94" i="17" a="1"/>
  <c r="S95" i="17" a="1"/>
  <c r="S96" i="17" a="1"/>
  <c r="S97" i="17" a="1"/>
  <c r="S98" i="17" a="1"/>
  <c r="S99" i="17" a="1"/>
  <c r="S100" i="17" a="1"/>
  <c r="S101" i="17" a="1"/>
  <c r="T94" i="17"/>
  <c r="T95" i="17"/>
  <c r="T96" i="17"/>
  <c r="T97" i="17"/>
  <c r="T98" i="17"/>
  <c r="T99" i="17"/>
  <c r="T100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bets_log(1)" description="Connection to the 'bets_log' query in the workbook." type="5" refreshedVersion="0" background="1" saveData="1">
    <dbPr connection="Provider=Microsoft.Mashup.OleDb.1;Data Source=$Workbook$;Location=bets_log;Extended Properties=&quot;&quot;" command="SELECT * FROM [bets_log]"/>
  </connection>
  <connection id="2" xr16:uid="{00000000-0015-0000-FFFF-FFFF01000000}" keepAlive="1" name="Query - Fact Betting Table" description="Connection to the 'Fact Betting Table' query in the workbook." type="5" refreshedVersion="8" background="1" saveData="1">
    <dbPr connection="Provider=Microsoft.Mashup.OleDb.1;Data Source=$Workbook$;Location=&quot;Fact Betting Table&quot;;Extended Properties=&quot;&quot;" command="SELECT * FROM [Fact Betting Table]"/>
  </connection>
  <connection id="3" xr16:uid="{00000000-0015-0000-FFFF-FFFF02000000}" keepAlive="1" name="Query - odds_log" description="Connection to the 'odds_log' query in the workbook." type="5" refreshedVersion="8" background="1" saveData="1">
    <dbPr connection="Provider=Microsoft.Mashup.OleDb.1;Data Source=$Workbook$;Location=odds_log;Extended Properties=&quot;&quot;" command="SELECT * FROM [odds_log]"/>
  </connection>
  <connection id="4" xr16:uid="{00000000-0015-0000-FFFF-FFFF03000000}" keepAlive="1" name="Query - prediction_log" description="Connection to the 'prediction_log' query in the workbook." type="5" refreshedVersion="8" background="1" saveData="1">
    <dbPr connection="Provider=Microsoft.Mashup.OleDb.1;Data Source=$Workbook$;Location=prediction_log;Extended Properties=&quot;&quot;" command="SELECT * FROM [prediction_log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<sst xmlns="http://schemas.openxmlformats.org/spreadsheetml/2006/main" count="4444" uniqueCount="74">
  <si>
    <t>match_id</t>
  </si>
  <si>
    <t>date</t>
  </si>
  <si>
    <t>away_team</t>
  </si>
  <si>
    <t>home_team</t>
  </si>
  <si>
    <t>Raiders</t>
  </si>
  <si>
    <t>Tigers</t>
  </si>
  <si>
    <t>Sharks</t>
  </si>
  <si>
    <t>Cowboys</t>
  </si>
  <si>
    <t>Bulldogs</t>
  </si>
  <si>
    <t>Broncos</t>
  </si>
  <si>
    <t>Roosters</t>
  </si>
  <si>
    <t>Dragons</t>
  </si>
  <si>
    <t>Dolphins</t>
  </si>
  <si>
    <t>Warriors</t>
  </si>
  <si>
    <t>Rabbitohs</t>
  </si>
  <si>
    <t>Storm</t>
  </si>
  <si>
    <t>Panthers</t>
  </si>
  <si>
    <t>Knights</t>
  </si>
  <si>
    <t>Eels</t>
  </si>
  <si>
    <t>Eagles</t>
  </si>
  <si>
    <t>B365 Closing Line</t>
  </si>
  <si>
    <t>CLV</t>
  </si>
  <si>
    <t>Titans</t>
  </si>
  <si>
    <t>SportsBet</t>
  </si>
  <si>
    <t>Betr</t>
  </si>
  <si>
    <t>Bet Right</t>
  </si>
  <si>
    <t>Betfair</t>
  </si>
  <si>
    <t>TAB</t>
  </si>
  <si>
    <t>PointsBet (AU)</t>
  </si>
  <si>
    <t>Neds</t>
  </si>
  <si>
    <t>Ladbrokes</t>
  </si>
  <si>
    <t>PlayUp</t>
  </si>
  <si>
    <t>TABtouch</t>
  </si>
  <si>
    <t>Unibet</t>
  </si>
  <si>
    <t>Home Team</t>
  </si>
  <si>
    <t>Away Team</t>
  </si>
  <si>
    <t>Home Odds</t>
  </si>
  <si>
    <t>Away Odds</t>
  </si>
  <si>
    <t>Date</t>
  </si>
  <si>
    <t>Bookmaker</t>
  </si>
  <si>
    <t>Last Update</t>
  </si>
  <si>
    <t>Bet Line</t>
  </si>
  <si>
    <t>home_odd</t>
  </si>
  <si>
    <t>away_odd</t>
  </si>
  <si>
    <t>bookmaker</t>
  </si>
  <si>
    <t>home_away</t>
  </si>
  <si>
    <t>away</t>
  </si>
  <si>
    <t>home</t>
  </si>
  <si>
    <t>last_update</t>
  </si>
  <si>
    <t>Ev HomeAway</t>
  </si>
  <si>
    <t>Result HomeAway</t>
  </si>
  <si>
    <t>Prediction HomeAway</t>
  </si>
  <si>
    <t>Result Team</t>
  </si>
  <si>
    <t>Prediction Accuracy</t>
  </si>
  <si>
    <t>home_prediction</t>
  </si>
  <si>
    <t>away_prediction</t>
  </si>
  <si>
    <t>prediction</t>
  </si>
  <si>
    <t>commence_time</t>
  </si>
  <si>
    <t>home_team_odds</t>
  </si>
  <si>
    <t>away_team_odds</t>
  </si>
  <si>
    <t>ev_bet</t>
  </si>
  <si>
    <t>sportsbet</t>
  </si>
  <si>
    <t>tab</t>
  </si>
  <si>
    <t>betright</t>
  </si>
  <si>
    <t>betfair_ex_au</t>
  </si>
  <si>
    <t>neds</t>
  </si>
  <si>
    <t>betr_au</t>
  </si>
  <si>
    <t>pointsbetau</t>
  </si>
  <si>
    <t>market</t>
  </si>
  <si>
    <t>h2h</t>
  </si>
  <si>
    <t>ladbrokes_au</t>
  </si>
  <si>
    <t>playup</t>
  </si>
  <si>
    <t>tabtouch</t>
  </si>
  <si>
    <t>unibet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</si>
</sst>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000-000000000000}" autoFormatId="16" applyNumberFormats="0" applyBorderFormats="0" applyFontFormats="0" applyPatternFormats="0" applyAlignmentFormats="0" applyWidthHeightFormats="0">
  <queryTableRefresh nextId="40" unboundColumnsRight="8">
    <queryTableFields count="20">
      <queryTableField id="4" name="Date" tableColumnId="4"/>
      <queryTableField id="20" name="match_id" tableColumnId="1"/>
      <queryTableField id="21" name="home_team" tableColumnId="2"/>
      <queryTableField id="22" name="away_team" tableColumnId="3"/>
      <queryTableField id="23" name="home_prediction" tableColumnId="5"/>
      <queryTableField id="24" name="away_prediction" tableColumnId="6"/>
      <queryTableField id="25" name="prediction" tableColumnId="7"/>
      <queryTableField id="26" name="commence_time" tableColumnId="8"/>
      <queryTableField id="27" name="home_team_odds" tableColumnId="9"/>
      <queryTableField id="28" name="away_team_odds" tableColumnId="11"/>
      <queryTableField id="10" name="Bookmaker" tableColumnId="10"/>
      <queryTableField id="29" name="ev_bet" tableColumnId="20"/>
      <queryTableField id="14" dataBound="0" tableColumnId="15"/>
      <queryTableField id="15" dataBound="0" tableColumnId="16"/>
      <queryTableField id="12" dataBound="0" tableColumnId="13"/>
      <queryTableField id="13" dataBound="0" tableColumnId="14"/>
      <queryTableField id="18" dataBound="0" tableColumnId="18"/>
      <queryTableField id="16" dataBound="0" tableColumnId="12"/>
      <queryTableField id="19" dataBound="0" tableColumnId="19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100-000001000000}" autoFormatId="16" applyNumberFormats="0" applyBorderFormats="0" applyFontFormats="0" applyPatternFormats="0" applyAlignmentFormats="0" applyWidthHeightFormats="0">
  <queryTableRefresh nextId="24">
    <queryTableFields count="7">
      <queryTableField id="4" name="date" tableColumnId="4"/>
      <queryTableField id="3" name="match_id" tableColumnId="3"/>
      <queryTableField id="6" name="home_team" tableColumnId="6"/>
      <queryTableField id="5" name="away_team" tableColumnId="5"/>
      <queryTableField id="20" name="home_prediction" tableColumnId="1"/>
      <queryTableField id="21" name="away_prediction" tableColumnId="2"/>
      <queryTableField id="22" name="predic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0000000-0016-0000-0200-000002000000}" autoFormatId="16" applyNumberFormats="0" applyBorderFormats="0" applyFontFormats="0" applyPatternFormats="0" applyAlignmentFormats="0" applyWidthHeightFormats="0">
  <queryTableRefresh nextId="19">
    <queryTableFields count="9">
      <queryTableField id="1" name="match_id" tableColumnId="1"/>
      <queryTableField id="9" name="commence_time" tableColumnId="2"/>
      <queryTableField id="6" name="home_team" tableColumnId="6"/>
      <queryTableField id="5" name="away_team" tableColumnId="5"/>
      <queryTableField id="3" name="bookmaker" tableColumnId="3"/>
      <queryTableField id="10" name="market" tableColumnId="7"/>
      <queryTableField id="11" name="home_team_odds" tableColumnId="8"/>
      <queryTableField id="12" name="away_team_odds" tableColumnId="9"/>
      <queryTableField id="4" name="last_up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89C213-3137-4702-AB2F-77518D733C9E}" name="Fact_Betting_Table" displayName="Fact_Betting_Table" ref="A1:T101" tableType="queryTable" totalsRowShown="0">
  <autoFilter ref="A1:T101" xr:uid="{A489C213-3137-4702-AB2F-77518D733C9E}"/>
  <sortState xmlns:xlrd2="http://schemas.microsoft.com/office/spreadsheetml/2017/richdata2" ref="A2:T101">
    <sortCondition ref="B1:B101"/>
  </sortState>
  <tableColumns count="20">
    <tableColumn id="4" xr3:uid="{EBBBD2A2-AEF1-40BC-8DE9-6AB25AEA9293}" uniqueName="4" name="date" queryTableFieldId="4" dataDxfId="34"/>
    <tableColumn id="1" xr3:uid="{06A7AFB6-2725-4749-BA56-D9104726D73A}" uniqueName="1" name="match_id" queryTableFieldId="20"/>
    <tableColumn id="2" xr3:uid="{D601273A-8045-474A-9A33-40A47C431DD3}" uniqueName="2" name="home_team" queryTableFieldId="21" dataDxfId="33"/>
    <tableColumn id="3" xr3:uid="{7580D706-9FB9-4514-8F94-0D9BF1581E19}" uniqueName="3" name="away_team" queryTableFieldId="22" dataDxfId="32"/>
    <tableColumn id="5" xr3:uid="{EF780FBE-D870-435A-92CE-5FD5E110230D}" uniqueName="5" name="home_prediction" queryTableFieldId="23"/>
    <tableColumn id="6" xr3:uid="{AE87FC99-393D-4BCE-B0A3-2EBB4C02A30D}" uniqueName="6" name="away_prediction" queryTableFieldId="24"/>
    <tableColumn id="7" xr3:uid="{A40CBB36-AB06-43BA-86A3-5BB8A4F79197}" uniqueName="7" name="prediction" queryTableFieldId="25" dataDxfId="31"/>
    <tableColumn id="8" xr3:uid="{CD595DA2-826E-4B90-84EC-FF3BD1890DB9}" uniqueName="8" name="commence_time" queryTableFieldId="26" dataDxfId="30"/>
    <tableColumn id="9" xr3:uid="{7DA43A81-F48B-478C-B323-425968651CAD}" uniqueName="9" name="home_team_odds" queryTableFieldId="27"/>
    <tableColumn id="11" xr3:uid="{56876D7E-1D3C-4CE2-BBBB-4A517505BB9A}" uniqueName="11" name="away_team_odds" queryTableFieldId="28"/>
    <tableColumn id="10" xr3:uid="{A9F6E55D-39DB-4383-AD5F-0F31607727CF}" uniqueName="10" name="bookmaker" queryTableFieldId="10" dataDxfId="29"/>
    <tableColumn id="20" xr3:uid="{158FD286-E9BF-464A-BC3C-E9B8A589D134}" uniqueName="20" name="ev_bet" queryTableFieldId="29" dataDxfId="28"/>
    <tableColumn id="15" xr3:uid="{BE994BCA-5DF9-492C-84E4-66BA1ABDF9ED}" uniqueName="15" name="Ev HomeAway" queryTableFieldId="14" dataDxfId="27">
      <calculatedColumnFormula array="1">_xlfn.IFS(Fact_Betting_Table[[#This Row],[ev_bet]]=Fact_Betting_Table[[#This Row],[home_team]],"Home",Fact_Betting_Table[[#This Row],[ev_bet]]=Fact_Betting_Table[[#This Row],[away_team]],"Away",Fact_Betting_Table[[#This Row],[ev_bet]]="","")</calculatedColumnFormula>
    </tableColumn>
    <tableColumn id="16" xr3:uid="{0EF246E9-D782-4863-8A33-DA255226A82E}" uniqueName="16" name="Bet Line" queryTableFieldId="15" dataDxfId="26">
      <calculatedColumnFormula array="1">_xlfn.IFS(Fact_Betting_Table[[#This Row],[Ev HomeAway]]="Home",Fact_Betting_Table[[#This Row],[home_team_odds]],Fact_Betting_Table[[#This Row],[Ev HomeAway]]="Away",Fact_Betting_Table[[#This Row],[away_team_odds]],Fact_Betting_Table[[#This Row],[Ev HomeAway]]="","")</calculatedColumnFormula>
    </tableColumn>
    <tableColumn id="13" xr3:uid="{0EE4036C-43AD-460A-82A3-CF7FF24C8174}" uniqueName="13" name="B365 Closing Line" queryTableFieldId="12" dataDxfId="25"/>
    <tableColumn id="14" xr3:uid="{0EC28417-A937-484F-9FE1-42317BC57402}" uniqueName="14" name="CLV" queryTableFieldId="13" dataDxfId="24">
      <calculatedColumnFormula>IF(Fact_Betting_Table[[#This Row],[B365 Closing Line]]="", "", Fact_Betting_Table[[#This Row],[Bet Line]]/Fact_Betting_Table[[#This Row],[B365 Closing Line]]-1)</calculatedColumnFormula>
    </tableColumn>
    <tableColumn id="18" xr3:uid="{772F05D1-46FC-4FA4-B4B0-94EF906C734F}" uniqueName="18" name="Prediction HomeAway" queryTableFieldId="18" dataDxfId="23">
      <calculatedColumnFormula array="1">_xlfn.IFS(Fact_Betting_Table[[#This Row],[prediction]]=Fact_Betting_Table[[#This Row],[home_team]], 1, Fact_Betting_Table[[#This Row],[prediction]]=Fact_Betting_Table[[#This Row],[away_team]], 0)</calculatedColumnFormula>
    </tableColumn>
    <tableColumn id="12" xr3:uid="{369B815A-F2EF-44EA-912E-DFE71912EE25}" uniqueName="12" name="Result HomeAway" queryTableFieldId="16" dataDxfId="22"/>
    <tableColumn id="19" xr3:uid="{41A1C30B-F95C-486A-8BD2-EE905146F725}" uniqueName="19" name="Result Team" queryTableFieldId="19" dataDxfId="21">
      <calculatedColumnFormula array="1">_xlfn.IFS(Fact_Betting_Table[[#This Row],[Result HomeAway]]=1,Fact_Betting_Table[[#This Row],[home_team]],Fact_Betting_Table[[#This Row],[Result HomeAway]]="","",Fact_Betting_Table[[#This Row],[Result HomeAway]]=0,Fact_Betting_Table[[#This Row],[away_team]])</calculatedColumnFormula>
    </tableColumn>
    <tableColumn id="17" xr3:uid="{F5AA482F-60CE-47E2-BA38-BEC8EBE5AD95}" uniqueName="17" name="Prediction Accuracy" queryTableFieldId="17" dataDxfId="20">
      <calculatedColumnFormula>IF(Fact_Betting_Table[[#This Row],[Result HomeAway]]="", "", IF(Fact_Betting_Table[[#This Row],[Result HomeAway]]=Fact_Betting_Table[[#This Row],[Prediction HomeAway]],1,0))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556F7-543C-4944-978D-945459AD5562}" name="prediction_log" displayName="prediction_log" ref="A1:G101" tableType="queryTable" totalsRowShown="0">
  <autoFilter ref="A1:G101" xr:uid="{EA0556F7-543C-4944-978D-945459AD5562}"/>
  <tableColumns count="7">
    <tableColumn id="4" xr3:uid="{2295DE2A-41B0-4CF1-892C-1083C94A72F9}" uniqueName="4" name="date" queryTableFieldId="4" dataDxfId="19"/>
    <tableColumn id="3" xr3:uid="{34C834AF-3D03-4725-98AF-90E773DD7FAF}" uniqueName="3" name="match_id" queryTableFieldId="3"/>
    <tableColumn id="6" xr3:uid="{AAD13361-A670-4D79-935D-59B2B5E3ED9B}" uniqueName="6" name="home_team" queryTableFieldId="6" dataDxfId="18"/>
    <tableColumn id="5" xr3:uid="{8A7BEB81-9F1E-4892-9BEE-CE6C90139899}" uniqueName="5" name="away_team" queryTableFieldId="5" dataDxfId="17"/>
    <tableColumn id="1" xr3:uid="{C7671F44-5AE9-4241-A406-9E873817137C}" uniqueName="1" name="home_prediction" queryTableFieldId="20"/>
    <tableColumn id="2" xr3:uid="{18D48C84-0C9C-47D7-BE93-72E1789651A0}" uniqueName="2" name="away_prediction" queryTableFieldId="21"/>
    <tableColumn id="7" xr3:uid="{AB174EF5-B4ED-42BC-B2A7-8F8BA099EA18}" uniqueName="7" name="prediction" queryTableFieldId="22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23EB28-4FAE-4F7E-8720-9105861DF85D}" name="odds_log" displayName="odds_log" ref="A1:I837" tableType="queryTable" totalsRowShown="0">
  <autoFilter ref="A1:I837" xr:uid="{E123EB28-4FAE-4F7E-8720-9105861DF85D}"/>
  <tableColumns count="9">
    <tableColumn id="1" xr3:uid="{8B526D9E-5D5A-44D3-93EF-AE9A17A97DDB}" uniqueName="1" name="match_id" queryTableFieldId="1"/>
    <tableColumn id="2" xr3:uid="{C8410AFE-BB42-45FC-825C-567BDB01273D}" uniqueName="2" name="commence_time" queryTableFieldId="9" dataDxfId="15"/>
    <tableColumn id="6" xr3:uid="{71CC9BAC-72BA-4972-BF45-A0D2C7247690}" uniqueName="6" name="home_team" queryTableFieldId="6" dataDxfId="14"/>
    <tableColumn id="5" xr3:uid="{6107C972-122F-4898-903F-60380DEA5474}" uniqueName="5" name="away_team" queryTableFieldId="5" dataDxfId="13"/>
    <tableColumn id="3" xr3:uid="{8AB2C615-3EFF-47AD-8CEE-B71D5F38A190}" uniqueName="3" name="bookmaker" queryTableFieldId="3" dataDxfId="12"/>
    <tableColumn id="7" xr3:uid="{78FC2688-610C-47E0-A269-FFD76B018E97}" uniqueName="7" name="market" queryTableFieldId="10" dataDxfId="11"/>
    <tableColumn id="8" xr3:uid="{49103BC7-DB7A-421F-ADB8-09906739D142}" uniqueName="8" name="home_team_odds" queryTableFieldId="11"/>
    <tableColumn id="9" xr3:uid="{164D5E29-FB0A-4EF9-8C8D-4916EE9707C3}" uniqueName="9" name="away_team_odds" queryTableFieldId="12"/>
    <tableColumn id="4" xr3:uid="{BC9EF840-E8D3-475B-8FBF-0A4620CD2B85}" uniqueName="4" name="last_update" queryTableFieldId="4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20497-7108-4423-B64B-C254CD0793EB}" name="odd_log" displayName="odd_log" ref="A1:H89" totalsRowShown="0">
  <autoFilter ref="A1:H89" xr:uid="{B3920497-7108-4423-B64B-C254CD0793EB}"/>
  <tableColumns count="8">
    <tableColumn id="1" xr3:uid="{F1482920-EC6D-4B71-9D9D-B62B2F8819B9}" name="match_id"/>
    <tableColumn id="2" xr3:uid="{18F8765E-1EC8-4FD9-B491-FC165D62DCDA}" name="Date" dataDxfId="9"/>
    <tableColumn id="3" xr3:uid="{3D7A90B9-B2B0-4C8A-970C-5F732C502C39}" name="Home Team" dataDxfId="8"/>
    <tableColumn id="4" xr3:uid="{BBB57180-5B02-46A3-A7D5-51D9DD02582C}" name="Away Team" dataDxfId="7"/>
    <tableColumn id="5" xr3:uid="{2CAC0C67-9A80-4110-AF3F-C33031059E27}" name="Home Odds"/>
    <tableColumn id="6" xr3:uid="{6B78A46B-75CD-4474-95D5-E9D6F1B376F0}" name="Away Odds"/>
    <tableColumn id="7" xr3:uid="{162565F4-A769-4D6C-B194-6242AC8C8CE8}" name="Bookmaker" dataDxfId="6"/>
    <tableColumn id="8" xr3:uid="{83C13F5A-7E41-4F96-8CCF-C24E006D5B4C}" name="Last Update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C12108-74D0-4B19-BDD4-D2B58C615EF0}" name="bets_log" displayName="bets_log" ref="A1:H9" totalsRowShown="0">
  <autoFilter ref="A1:H9" xr:uid="{D0C12108-74D0-4B19-BDD4-D2B58C615EF0}"/>
  <tableColumns count="8">
    <tableColumn id="2" xr3:uid="{5F137923-4D13-420F-90B1-27D30D98E71F}" name="match_id"/>
    <tableColumn id="3" xr3:uid="{4F1F9E81-6A9E-4CB0-BC6E-D18696EA4AC5}" name="date" dataDxfId="4"/>
    <tableColumn id="4" xr3:uid="{0F4FCA7F-F413-4E4E-82A4-C16B4A1D3732}" name="home_team" dataDxfId="3"/>
    <tableColumn id="5" xr3:uid="{C3A27DFA-71EF-47EC-B0D1-753ADB422FEE}" name="away_team" dataDxfId="2"/>
    <tableColumn id="6" xr3:uid="{D1ECF2A6-826D-491A-A765-18F4A065D68C}" name="home_odd"/>
    <tableColumn id="7" xr3:uid="{22B7621A-279A-4FF4-9EC0-4D529E83B8BF}" name="away_odd"/>
    <tableColumn id="8" xr3:uid="{17F7CF52-A85D-46FA-8580-CB31383C5277}" name="bookmaker" dataDxfId="1"/>
    <tableColumn id="9" xr3:uid="{ED7C4800-BB8D-4429-875C-46A948B2E040}" name="home_awa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3E7360-6497-49D5-87B7-AEF98B9DA882}">
  <we:reference id="wa104380819" version="2.0.0.0" store="en-US" storeType="OMEX"/>
  <we:alternateReferences>
    <we:reference id="WA10438081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5CC1-06C1-4374-A5DA-108FC6421F25}">
  <dimension ref="A1:T101"/>
  <sheetViews>
    <sheetView tabSelected="1" topLeftCell="A69" zoomScale="76" zoomScaleNormal="85" workbookViewId="0">
      <selection activeCell="O95" sqref="O95"/>
    </sheetView>
  </sheetViews>
  <sheetFormatPr defaultRowHeight="15" x14ac:dyDescent="0.25"/>
  <cols>
    <col min="1" max="1" width="17.42578125" bestFit="1" customWidth="1"/>
    <col min="2" max="2" width="12.42578125" bestFit="1" customWidth="1"/>
    <col min="3" max="3" width="14.85546875" bestFit="1" customWidth="1"/>
    <col min="4" max="4" width="14" bestFit="1" customWidth="1"/>
    <col min="5" max="5" width="19.7109375" bestFit="1" customWidth="1"/>
    <col min="6" max="6" width="19" bestFit="1" customWidth="1"/>
    <col min="7" max="7" width="13.42578125" bestFit="1" customWidth="1"/>
    <col min="8" max="8" width="19.28515625" bestFit="1" customWidth="1"/>
    <col min="9" max="9" width="20" bestFit="1" customWidth="1"/>
    <col min="10" max="10" width="19.28515625" bestFit="1" customWidth="1"/>
    <col min="11" max="11" width="14" bestFit="1" customWidth="1"/>
    <col min="12" max="12" width="10.28515625" bestFit="1" customWidth="1"/>
    <col min="13" max="13" width="16.42578125" bestFit="1" customWidth="1"/>
    <col min="14" max="14" width="11.42578125" bestFit="1" customWidth="1"/>
    <col min="15" max="15" width="19.7109375" bestFit="1" customWidth="1"/>
    <col min="16" max="16" width="14.28515625" bestFit="1" customWidth="1"/>
    <col min="17" max="17" width="24.140625" bestFit="1" customWidth="1"/>
    <col min="18" max="18" width="20.28515625" bestFit="1" customWidth="1"/>
    <col min="19" max="19" width="14.85546875" bestFit="1" customWidth="1"/>
    <col min="20" max="20" width="22" bestFit="1" customWidth="1"/>
  </cols>
  <sheetData>
    <row r="1" spans="1:20" x14ac:dyDescent="0.25">
      <c r="A1" t="s">
        <v>1</v>
      </c>
      <c r="B1" t="s">
        <v>0</v>
      </c>
      <c r="C1" t="s">
        <v>3</v>
      </c>
      <c r="D1" t="s">
        <v>2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44</v>
      </c>
      <c r="L1" t="s">
        <v>60</v>
      </c>
      <c r="M1" t="s">
        <v>49</v>
      </c>
      <c r="N1" t="s">
        <v>41</v>
      </c>
      <c r="O1" t="s">
        <v>20</v>
      </c>
      <c r="P1" t="s">
        <v>21</v>
      </c>
      <c r="Q1" t="s">
        <v>51</v>
      </c>
      <c r="R1" t="s">
        <v>50</v>
      </c>
      <c r="S1" t="s">
        <v>52</v>
      </c>
      <c r="T1" t="s">
        <v>53</v>
      </c>
    </row>
    <row r="2" spans="1:20" x14ac:dyDescent="0.25">
      <c r="A2" s="2">
        <v>46135.416666666664</v>
      </c>
      <c r="B2">
        <v>129990801</v>
      </c>
      <c r="C2" t="s">
        <v>5</v>
      </c>
      <c r="D2" t="s">
        <v>4</v>
      </c>
      <c r="E2">
        <v>0.46201175451278698</v>
      </c>
      <c r="F2">
        <v>0.53798824548721302</v>
      </c>
      <c r="G2" t="s">
        <v>4</v>
      </c>
      <c r="H2" s="2"/>
      <c r="M2" t="str" cm="1">
        <f t="array" ref="M2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" t="str" cm="1">
        <f t="array" ref="N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" t="str">
        <f>IF(Fact_Betting_Table[[#This Row],[B365 Closing Line]]="", "", Fact_Betting_Table[[#This Row],[Bet Line]]/Fact_Betting_Table[[#This Row],[B365 Closing Line]]-1)</f>
        <v/>
      </c>
      <c r="Q2" cm="1">
        <f t="array" ref="Q2">_xlfn.IFS(Fact_Betting_Table[[#This Row],[prediction]]=Fact_Betting_Table[[#This Row],[home_team]], 1, Fact_Betting_Table[[#This Row],[prediction]]=Fact_Betting_Table[[#This Row],[away_team]], 0)</f>
        <v>0</v>
      </c>
      <c r="R2">
        <v>1</v>
      </c>
      <c r="S2" t="str" cm="1">
        <f t="array" ref="S2">_xlfn.IFS(Fact_Betting_Table[[#This Row],[Result HomeAway]]=1,Fact_Betting_Table[[#This Row],[home_team]],Fact_Betting_Table[[#This Row],[Result HomeAway]]="","",Fact_Betting_Table[[#This Row],[Result HomeAway]]=0,Fact_Betting_Table[[#This Row],[away_team]])</f>
        <v>Tigers</v>
      </c>
      <c r="T2" s="3">
        <f>IF(Fact_Betting_Table[[#This Row],[Result HomeAway]]="", "", IF(Fact_Betting_Table[[#This Row],[Result HomeAway]]=Fact_Betting_Table[[#This Row],[Prediction HomeAway]],1,0))</f>
        <v>0</v>
      </c>
    </row>
    <row r="3" spans="1:20" x14ac:dyDescent="0.25">
      <c r="A3" s="2">
        <v>46136.416666666664</v>
      </c>
      <c r="B3">
        <v>129990802</v>
      </c>
      <c r="C3" t="s">
        <v>7</v>
      </c>
      <c r="D3" t="s">
        <v>6</v>
      </c>
      <c r="E3">
        <v>0.44253998994827298</v>
      </c>
      <c r="F3">
        <v>0.55746001005172696</v>
      </c>
      <c r="G3" t="s">
        <v>6</v>
      </c>
      <c r="H3" s="2"/>
      <c r="M3" t="str" cm="1">
        <f t="array" ref="M3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3" t="str" cm="1">
        <f t="array" ref="N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3" t="str">
        <f>IF(Fact_Betting_Table[[#This Row],[B365 Closing Line]]="", "", Fact_Betting_Table[[#This Row],[Bet Line]]/Fact_Betting_Table[[#This Row],[B365 Closing Line]]-1)</f>
        <v/>
      </c>
      <c r="Q3" cm="1">
        <f t="array" ref="Q3">_xlfn.IFS(Fact_Betting_Table[[#This Row],[prediction]]=Fact_Betting_Table[[#This Row],[home_team]], 1, Fact_Betting_Table[[#This Row],[prediction]]=Fact_Betting_Table[[#This Row],[away_team]], 0)</f>
        <v>0</v>
      </c>
      <c r="R3">
        <v>1</v>
      </c>
      <c r="S3" t="str" cm="1">
        <f t="array" ref="S3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3" s="3">
        <f>IF(Fact_Betting_Table[[#This Row],[Result HomeAway]]="", "", IF(Fact_Betting_Table[[#This Row],[Result HomeAway]]=Fact_Betting_Table[[#This Row],[Prediction HomeAway]],1,0))</f>
        <v>0</v>
      </c>
    </row>
    <row r="4" spans="1:20" x14ac:dyDescent="0.25">
      <c r="A4" s="2">
        <v>46136.416666666664</v>
      </c>
      <c r="B4">
        <v>129990803</v>
      </c>
      <c r="C4" t="s">
        <v>9</v>
      </c>
      <c r="D4" t="s">
        <v>8</v>
      </c>
      <c r="E4">
        <v>0.48703813552856401</v>
      </c>
      <c r="F4">
        <v>0.51296186447143599</v>
      </c>
      <c r="G4" t="s">
        <v>8</v>
      </c>
      <c r="H4" s="2"/>
      <c r="M4" t="str" cm="1">
        <f t="array" ref="M4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4" t="str" cm="1">
        <f t="array" ref="N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4" t="str">
        <f>IF(Fact_Betting_Table[[#This Row],[B365 Closing Line]]="", "", Fact_Betting_Table[[#This Row],[Bet Line]]/Fact_Betting_Table[[#This Row],[B365 Closing Line]]-1)</f>
        <v/>
      </c>
      <c r="Q4" cm="1">
        <f t="array" ref="Q4">_xlfn.IFS(Fact_Betting_Table[[#This Row],[prediction]]=Fact_Betting_Table[[#This Row],[home_team]], 1, Fact_Betting_Table[[#This Row],[prediction]]=Fact_Betting_Table[[#This Row],[away_team]], 0)</f>
        <v>0</v>
      </c>
      <c r="R4">
        <v>1</v>
      </c>
      <c r="S4" t="str" cm="1">
        <f t="array" ref="S4">_xlfn.IFS(Fact_Betting_Table[[#This Row],[Result HomeAway]]=1,Fact_Betting_Table[[#This Row],[home_team]],Fact_Betting_Table[[#This Row],[Result HomeAway]]="","",Fact_Betting_Table[[#This Row],[Result HomeAway]]=0,Fact_Betting_Table[[#This Row],[away_team]])</f>
        <v>Broncos</v>
      </c>
      <c r="T4" s="3">
        <f>IF(Fact_Betting_Table[[#This Row],[Result HomeAway]]="", "", IF(Fact_Betting_Table[[#This Row],[Result HomeAway]]=Fact_Betting_Table[[#This Row],[Prediction HomeAway]],1,0))</f>
        <v>0</v>
      </c>
    </row>
    <row r="5" spans="1:20" x14ac:dyDescent="0.25">
      <c r="A5" s="2">
        <v>46137.416666666664</v>
      </c>
      <c r="B5">
        <v>129990804</v>
      </c>
      <c r="C5" t="s">
        <v>11</v>
      </c>
      <c r="D5" t="s">
        <v>10</v>
      </c>
      <c r="E5">
        <v>0.399268448352814</v>
      </c>
      <c r="F5">
        <v>0.60073155164718595</v>
      </c>
      <c r="G5" t="s">
        <v>10</v>
      </c>
      <c r="H5" s="2"/>
      <c r="M5" t="str" cm="1">
        <f t="array" ref="M5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5" t="str" cm="1">
        <f t="array" ref="N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5" t="str">
        <f>IF(Fact_Betting_Table[[#This Row],[B365 Closing Line]]="", "", Fact_Betting_Table[[#This Row],[Bet Line]]/Fact_Betting_Table[[#This Row],[B365 Closing Line]]-1)</f>
        <v/>
      </c>
      <c r="Q5" cm="1">
        <f t="array" ref="Q5">_xlfn.IFS(Fact_Betting_Table[[#This Row],[prediction]]=Fact_Betting_Table[[#This Row],[home_team]], 1, Fact_Betting_Table[[#This Row],[prediction]]=Fact_Betting_Table[[#This Row],[away_team]], 0)</f>
        <v>0</v>
      </c>
      <c r="R5">
        <v>0</v>
      </c>
      <c r="S5" t="str" cm="1">
        <f t="array" ref="S5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5" s="3">
        <f>IF(Fact_Betting_Table[[#This Row],[Result HomeAway]]="", "", IF(Fact_Betting_Table[[#This Row],[Result HomeAway]]=Fact_Betting_Table[[#This Row],[Prediction HomeAway]],1,0))</f>
        <v>1</v>
      </c>
    </row>
    <row r="6" spans="1:20" x14ac:dyDescent="0.25">
      <c r="A6" s="2">
        <v>46137.416666666664</v>
      </c>
      <c r="B6">
        <v>129990805</v>
      </c>
      <c r="C6" t="s">
        <v>13</v>
      </c>
      <c r="D6" t="s">
        <v>12</v>
      </c>
      <c r="E6">
        <v>0.68943500518798795</v>
      </c>
      <c r="F6">
        <v>0.310564994812012</v>
      </c>
      <c r="G6" t="s">
        <v>13</v>
      </c>
      <c r="H6" s="2"/>
      <c r="M6" t="str" cm="1">
        <f t="array" ref="M6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6" t="str" cm="1">
        <f t="array" ref="N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6" t="str">
        <f>IF(Fact_Betting_Table[[#This Row],[B365 Closing Line]]="", "", Fact_Betting_Table[[#This Row],[Bet Line]]/Fact_Betting_Table[[#This Row],[B365 Closing Line]]-1)</f>
        <v/>
      </c>
      <c r="Q6" cm="1">
        <f t="array" ref="Q6">_xlfn.IFS(Fact_Betting_Table[[#This Row],[prediction]]=Fact_Betting_Table[[#This Row],[home_team]], 1, Fact_Betting_Table[[#This Row],[prediction]]=Fact_Betting_Table[[#This Row],[away_team]], 0)</f>
        <v>1</v>
      </c>
      <c r="R6">
        <v>1</v>
      </c>
      <c r="S6" t="str" cm="1">
        <f t="array" ref="S6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6" s="3">
        <f>IF(Fact_Betting_Table[[#This Row],[Result HomeAway]]="", "", IF(Fact_Betting_Table[[#This Row],[Result HomeAway]]=Fact_Betting_Table[[#This Row],[Prediction HomeAway]],1,0))</f>
        <v>1</v>
      </c>
    </row>
    <row r="7" spans="1:20" x14ac:dyDescent="0.25">
      <c r="A7" s="2">
        <v>46137.416666666664</v>
      </c>
      <c r="B7">
        <v>129990806</v>
      </c>
      <c r="C7" t="s">
        <v>15</v>
      </c>
      <c r="D7" t="s">
        <v>14</v>
      </c>
      <c r="E7">
        <v>0.42627269029617298</v>
      </c>
      <c r="F7">
        <v>0.57372730970382702</v>
      </c>
      <c r="G7" t="s">
        <v>14</v>
      </c>
      <c r="H7" s="2"/>
      <c r="M7" t="str" cm="1">
        <f t="array" ref="M7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7" t="str" cm="1">
        <f t="array" ref="N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7" t="str">
        <f>IF(Fact_Betting_Table[[#This Row],[B365 Closing Line]]="", "", Fact_Betting_Table[[#This Row],[Bet Line]]/Fact_Betting_Table[[#This Row],[B365 Closing Line]]-1)</f>
        <v/>
      </c>
      <c r="Q7" cm="1">
        <f t="array" ref="Q7">_xlfn.IFS(Fact_Betting_Table[[#This Row],[prediction]]=Fact_Betting_Table[[#This Row],[home_team]], 1, Fact_Betting_Table[[#This Row],[prediction]]=Fact_Betting_Table[[#This Row],[away_team]], 0)</f>
        <v>0</v>
      </c>
      <c r="R7">
        <v>0</v>
      </c>
      <c r="S7" t="str" cm="1">
        <f t="array" ref="S7">_xlfn.IFS(Fact_Betting_Table[[#This Row],[Result HomeAway]]=1,Fact_Betting_Table[[#This Row],[home_team]],Fact_Betting_Table[[#This Row],[Result HomeAway]]="","",Fact_Betting_Table[[#This Row],[Result HomeAway]]=0,Fact_Betting_Table[[#This Row],[away_team]])</f>
        <v>Rabbitohs</v>
      </c>
      <c r="T7" s="3">
        <f>IF(Fact_Betting_Table[[#This Row],[Result HomeAway]]="", "", IF(Fact_Betting_Table[[#This Row],[Result HomeAway]]=Fact_Betting_Table[[#This Row],[Prediction HomeAway]],1,0))</f>
        <v>1</v>
      </c>
    </row>
    <row r="8" spans="1:20" x14ac:dyDescent="0.25">
      <c r="A8" s="2">
        <v>46138.416666666664</v>
      </c>
      <c r="B8">
        <v>129990807</v>
      </c>
      <c r="C8" t="s">
        <v>17</v>
      </c>
      <c r="D8" t="s">
        <v>16</v>
      </c>
      <c r="E8">
        <v>0.41327428817749001</v>
      </c>
      <c r="F8">
        <v>0.58672571182250999</v>
      </c>
      <c r="G8" t="s">
        <v>16</v>
      </c>
      <c r="H8" s="2"/>
      <c r="M8" t="str" cm="1">
        <f t="array" ref="M8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8" t="str" cm="1">
        <f t="array" ref="N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8" t="str">
        <f>IF(Fact_Betting_Table[[#This Row],[B365 Closing Line]]="", "", Fact_Betting_Table[[#This Row],[Bet Line]]/Fact_Betting_Table[[#This Row],[B365 Closing Line]]-1)</f>
        <v/>
      </c>
      <c r="Q8" cm="1">
        <f t="array" ref="Q8">_xlfn.IFS(Fact_Betting_Table[[#This Row],[prediction]]=Fact_Betting_Table[[#This Row],[home_team]], 1, Fact_Betting_Table[[#This Row],[prediction]]=Fact_Betting_Table[[#This Row],[away_team]], 0)</f>
        <v>0</v>
      </c>
      <c r="R8">
        <v>0</v>
      </c>
      <c r="S8" t="str" cm="1">
        <f t="array" ref="S8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8" s="3">
        <f>IF(Fact_Betting_Table[[#This Row],[Result HomeAway]]="", "", IF(Fact_Betting_Table[[#This Row],[Result HomeAway]]=Fact_Betting_Table[[#This Row],[Prediction HomeAway]],1,0))</f>
        <v>1</v>
      </c>
    </row>
    <row r="9" spans="1:20" x14ac:dyDescent="0.25">
      <c r="A9" s="2">
        <v>46138.416666666664</v>
      </c>
      <c r="B9">
        <v>129990808</v>
      </c>
      <c r="C9" t="s">
        <v>19</v>
      </c>
      <c r="D9" t="s">
        <v>18</v>
      </c>
      <c r="E9">
        <v>0.51558268070220903</v>
      </c>
      <c r="F9">
        <v>0.48441731929779103</v>
      </c>
      <c r="G9" t="s">
        <v>19</v>
      </c>
      <c r="H9" s="2"/>
      <c r="M9" t="str" cm="1">
        <f t="array" ref="M9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9" t="str" cm="1">
        <f t="array" ref="N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9" t="str">
        <f>IF(Fact_Betting_Table[[#This Row],[B365 Closing Line]]="", "", Fact_Betting_Table[[#This Row],[Bet Line]]/Fact_Betting_Table[[#This Row],[B365 Closing Line]]-1)</f>
        <v/>
      </c>
      <c r="Q9" cm="1">
        <f t="array" ref="Q9">_xlfn.IFS(Fact_Betting_Table[[#This Row],[prediction]]=Fact_Betting_Table[[#This Row],[home_team]], 1, Fact_Betting_Table[[#This Row],[prediction]]=Fact_Betting_Table[[#This Row],[away_team]], 0)</f>
        <v>1</v>
      </c>
      <c r="R9">
        <v>1</v>
      </c>
      <c r="S9" t="str" cm="1">
        <f t="array" ref="S9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9" s="3">
        <f>IF(Fact_Betting_Table[[#This Row],[Result HomeAway]]="", "", IF(Fact_Betting_Table[[#This Row],[Result HomeAway]]=Fact_Betting_Table[[#This Row],[Prediction HomeAway]],1,0))</f>
        <v>1</v>
      </c>
    </row>
    <row r="10" spans="1:20" x14ac:dyDescent="0.25">
      <c r="A10" s="2">
        <v>46143.416666666664</v>
      </c>
      <c r="B10">
        <v>129990901</v>
      </c>
      <c r="C10" t="s">
        <v>8</v>
      </c>
      <c r="D10" t="s">
        <v>7</v>
      </c>
      <c r="E10">
        <v>0.43192321062088002</v>
      </c>
      <c r="F10">
        <v>0.56807678937911998</v>
      </c>
      <c r="G10" t="s">
        <v>7</v>
      </c>
      <c r="H10" s="2"/>
      <c r="M10" t="str" cm="1">
        <f t="array" ref="M10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0" t="str" cm="1">
        <f t="array" ref="N1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0" t="str">
        <f>IF(Fact_Betting_Table[[#This Row],[B365 Closing Line]]="", "", Fact_Betting_Table[[#This Row],[Bet Line]]/Fact_Betting_Table[[#This Row],[B365 Closing Line]]-1)</f>
        <v/>
      </c>
      <c r="Q10" cm="1">
        <f t="array" ref="Q10">_xlfn.IFS(Fact_Betting_Table[[#This Row],[prediction]]=Fact_Betting_Table[[#This Row],[home_team]], 1, Fact_Betting_Table[[#This Row],[prediction]]=Fact_Betting_Table[[#This Row],[away_team]], 0)</f>
        <v>0</v>
      </c>
      <c r="R10">
        <v>0</v>
      </c>
      <c r="S10" t="str" cm="1">
        <f t="array" ref="S10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10" s="3">
        <f>IF(Fact_Betting_Table[[#This Row],[Result HomeAway]]="", "", IF(Fact_Betting_Table[[#This Row],[Result HomeAway]]=Fact_Betting_Table[[#This Row],[Prediction HomeAway]],1,0))</f>
        <v>1</v>
      </c>
    </row>
    <row r="11" spans="1:20" x14ac:dyDescent="0.25">
      <c r="A11" s="2">
        <v>46143.416666666664</v>
      </c>
      <c r="B11">
        <v>129990902</v>
      </c>
      <c r="C11" t="s">
        <v>12</v>
      </c>
      <c r="D11" t="s">
        <v>15</v>
      </c>
      <c r="E11">
        <v>0.54520007967948902</v>
      </c>
      <c r="F11">
        <v>0.45479992032051098</v>
      </c>
      <c r="G11" t="s">
        <v>12</v>
      </c>
      <c r="H11" s="2"/>
      <c r="M11" t="str" cm="1">
        <f t="array" ref="M11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1" t="str" cm="1">
        <f t="array" ref="N1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1" t="str">
        <f>IF(Fact_Betting_Table[[#This Row],[B365 Closing Line]]="", "", Fact_Betting_Table[[#This Row],[Bet Line]]/Fact_Betting_Table[[#This Row],[B365 Closing Line]]-1)</f>
        <v/>
      </c>
      <c r="Q11" cm="1">
        <f t="array" ref="Q11">_xlfn.IFS(Fact_Betting_Table[[#This Row],[prediction]]=Fact_Betting_Table[[#This Row],[home_team]], 1, Fact_Betting_Table[[#This Row],[prediction]]=Fact_Betting_Table[[#This Row],[away_team]], 0)</f>
        <v>1</v>
      </c>
      <c r="R11">
        <v>1</v>
      </c>
      <c r="S11" t="str" cm="1">
        <f t="array" ref="S11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11" s="3">
        <f>IF(Fact_Betting_Table[[#This Row],[Result HomeAway]]="", "", IF(Fact_Betting_Table[[#This Row],[Result HomeAway]]=Fact_Betting_Table[[#This Row],[Prediction HomeAway]],1,0))</f>
        <v>1</v>
      </c>
    </row>
    <row r="12" spans="1:20" x14ac:dyDescent="0.25">
      <c r="A12" s="2">
        <v>46144.416666666664</v>
      </c>
      <c r="B12">
        <v>129990903</v>
      </c>
      <c r="C12" t="s">
        <v>22</v>
      </c>
      <c r="D12" t="s">
        <v>4</v>
      </c>
      <c r="E12">
        <v>0.46796506643295299</v>
      </c>
      <c r="F12">
        <v>0.53203493356704701</v>
      </c>
      <c r="G12" t="s">
        <v>4</v>
      </c>
      <c r="H12" s="2"/>
      <c r="M12" t="str" cm="1">
        <f t="array" ref="M12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2" t="str" cm="1">
        <f t="array" ref="N1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2" t="str">
        <f>IF(Fact_Betting_Table[[#This Row],[B365 Closing Line]]="", "", Fact_Betting_Table[[#This Row],[Bet Line]]/Fact_Betting_Table[[#This Row],[B365 Closing Line]]-1)</f>
        <v/>
      </c>
      <c r="Q12" cm="1">
        <f t="array" ref="Q12">_xlfn.IFS(Fact_Betting_Table[[#This Row],[prediction]]=Fact_Betting_Table[[#This Row],[home_team]], 1, Fact_Betting_Table[[#This Row],[prediction]]=Fact_Betting_Table[[#This Row],[away_team]], 0)</f>
        <v>0</v>
      </c>
      <c r="R12">
        <v>0</v>
      </c>
      <c r="S12" t="str" cm="1">
        <f t="array" ref="S12">_xlfn.IFS(Fact_Betting_Table[[#This Row],[Result HomeAway]]=1,Fact_Betting_Table[[#This Row],[home_team]],Fact_Betting_Table[[#This Row],[Result HomeAway]]="","",Fact_Betting_Table[[#This Row],[Result HomeAway]]=0,Fact_Betting_Table[[#This Row],[away_team]])</f>
        <v>Raiders</v>
      </c>
      <c r="T12" s="3">
        <f>IF(Fact_Betting_Table[[#This Row],[Result HomeAway]]="", "", IF(Fact_Betting_Table[[#This Row],[Result HomeAway]]=Fact_Betting_Table[[#This Row],[Prediction HomeAway]],1,0))</f>
        <v>1</v>
      </c>
    </row>
    <row r="13" spans="1:20" x14ac:dyDescent="0.25">
      <c r="A13" s="2">
        <v>46144.416666666664</v>
      </c>
      <c r="B13">
        <v>129990904</v>
      </c>
      <c r="C13" t="s">
        <v>18</v>
      </c>
      <c r="D13" t="s">
        <v>13</v>
      </c>
      <c r="E13">
        <v>0.51314347982406605</v>
      </c>
      <c r="F13">
        <v>0.486856520175934</v>
      </c>
      <c r="G13" t="s">
        <v>18</v>
      </c>
      <c r="H13" s="2"/>
      <c r="M13" t="str" cm="1">
        <f t="array" ref="M13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3" t="str" cm="1">
        <f t="array" ref="N1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3" t="str">
        <f>IF(Fact_Betting_Table[[#This Row],[B365 Closing Line]]="", "", Fact_Betting_Table[[#This Row],[Bet Line]]/Fact_Betting_Table[[#This Row],[B365 Closing Line]]-1)</f>
        <v/>
      </c>
      <c r="Q13" cm="1">
        <f t="array" ref="Q13">_xlfn.IFS(Fact_Betting_Table[[#This Row],[prediction]]=Fact_Betting_Table[[#This Row],[home_team]], 1, Fact_Betting_Table[[#This Row],[prediction]]=Fact_Betting_Table[[#This Row],[away_team]], 0)</f>
        <v>1</v>
      </c>
      <c r="R13">
        <v>1</v>
      </c>
      <c r="S13" t="str" cm="1">
        <f t="array" ref="S13">_xlfn.IFS(Fact_Betting_Table[[#This Row],[Result HomeAway]]=1,Fact_Betting_Table[[#This Row],[home_team]],Fact_Betting_Table[[#This Row],[Result HomeAway]]="","",Fact_Betting_Table[[#This Row],[Result HomeAway]]=0,Fact_Betting_Table[[#This Row],[away_team]])</f>
        <v>Eels</v>
      </c>
      <c r="T13" s="3">
        <f>IF(Fact_Betting_Table[[#This Row],[Result HomeAway]]="", "", IF(Fact_Betting_Table[[#This Row],[Result HomeAway]]=Fact_Betting_Table[[#This Row],[Prediction HomeAway]],1,0))</f>
        <v>1</v>
      </c>
    </row>
    <row r="14" spans="1:20" x14ac:dyDescent="0.25">
      <c r="A14" s="2">
        <v>46144.416666666664</v>
      </c>
      <c r="B14">
        <v>129990905</v>
      </c>
      <c r="C14" t="s">
        <v>10</v>
      </c>
      <c r="D14" t="s">
        <v>9</v>
      </c>
      <c r="E14">
        <v>0.40842109918594399</v>
      </c>
      <c r="F14">
        <v>0.59157890081405595</v>
      </c>
      <c r="G14" t="s">
        <v>9</v>
      </c>
      <c r="H14" s="2"/>
      <c r="M14" t="str" cm="1">
        <f t="array" ref="M14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4" t="str" cm="1">
        <f t="array" ref="N1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4" t="str">
        <f>IF(Fact_Betting_Table[[#This Row],[B365 Closing Line]]="", "", Fact_Betting_Table[[#This Row],[Bet Line]]/Fact_Betting_Table[[#This Row],[B365 Closing Line]]-1)</f>
        <v/>
      </c>
      <c r="Q14" cm="1">
        <f t="array" ref="Q14">_xlfn.IFS(Fact_Betting_Table[[#This Row],[prediction]]=Fact_Betting_Table[[#This Row],[home_team]], 1, Fact_Betting_Table[[#This Row],[prediction]]=Fact_Betting_Table[[#This Row],[away_team]], 0)</f>
        <v>0</v>
      </c>
      <c r="R14">
        <v>1</v>
      </c>
      <c r="S14" t="str" cm="1">
        <f t="array" ref="S14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14" s="3">
        <f>IF(Fact_Betting_Table[[#This Row],[Result HomeAway]]="", "", IF(Fact_Betting_Table[[#This Row],[Result HomeAway]]=Fact_Betting_Table[[#This Row],[Prediction HomeAway]],1,0))</f>
        <v>0</v>
      </c>
    </row>
    <row r="15" spans="1:20" x14ac:dyDescent="0.25">
      <c r="A15" s="2">
        <v>46145.416666666664</v>
      </c>
      <c r="B15">
        <v>129990906</v>
      </c>
      <c r="C15" t="s">
        <v>17</v>
      </c>
      <c r="D15" t="s">
        <v>14</v>
      </c>
      <c r="E15">
        <v>0.49258524179458602</v>
      </c>
      <c r="F15">
        <v>0.50741475820541404</v>
      </c>
      <c r="G15" t="s">
        <v>14</v>
      </c>
      <c r="H15" s="2"/>
      <c r="M15" t="str" cm="1">
        <f t="array" ref="M15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5" t="str" cm="1">
        <f t="array" ref="N1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5" t="str">
        <f>IF(Fact_Betting_Table[[#This Row],[B365 Closing Line]]="", "", Fact_Betting_Table[[#This Row],[Bet Line]]/Fact_Betting_Table[[#This Row],[B365 Closing Line]]-1)</f>
        <v/>
      </c>
      <c r="Q15" cm="1">
        <f t="array" ref="Q15">_xlfn.IFS(Fact_Betting_Table[[#This Row],[prediction]]=Fact_Betting_Table[[#This Row],[home_team]], 1, Fact_Betting_Table[[#This Row],[prediction]]=Fact_Betting_Table[[#This Row],[away_team]], 0)</f>
        <v>0</v>
      </c>
      <c r="R15">
        <v>1</v>
      </c>
      <c r="S15" t="str" cm="1">
        <f t="array" ref="S15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15" s="3">
        <f>IF(Fact_Betting_Table[[#This Row],[Result HomeAway]]="", "", IF(Fact_Betting_Table[[#This Row],[Result HomeAway]]=Fact_Betting_Table[[#This Row],[Prediction HomeAway]],1,0))</f>
        <v>0</v>
      </c>
    </row>
    <row r="16" spans="1:20" x14ac:dyDescent="0.25">
      <c r="A16" s="2">
        <v>46145.416666666664</v>
      </c>
      <c r="B16">
        <v>129990907</v>
      </c>
      <c r="C16" t="s">
        <v>6</v>
      </c>
      <c r="D16" t="s">
        <v>5</v>
      </c>
      <c r="E16">
        <v>0.52708521485328697</v>
      </c>
      <c r="F16">
        <v>0.47291478514671298</v>
      </c>
      <c r="G16" t="s">
        <v>6</v>
      </c>
      <c r="H16" s="2"/>
      <c r="M16" t="str" cm="1">
        <f t="array" ref="M16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6" t="str" cm="1">
        <f t="array" ref="N1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6" t="str">
        <f>IF(Fact_Betting_Table[[#This Row],[B365 Closing Line]]="", "", Fact_Betting_Table[[#This Row],[Bet Line]]/Fact_Betting_Table[[#This Row],[B365 Closing Line]]-1)</f>
        <v/>
      </c>
      <c r="Q16" cm="1">
        <f t="array" ref="Q16">_xlfn.IFS(Fact_Betting_Table[[#This Row],[prediction]]=Fact_Betting_Table[[#This Row],[home_team]], 1, Fact_Betting_Table[[#This Row],[prediction]]=Fact_Betting_Table[[#This Row],[away_team]], 0)</f>
        <v>1</v>
      </c>
      <c r="R16">
        <v>1</v>
      </c>
      <c r="S16" t="str" cm="1">
        <f t="array" ref="S16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16" s="3">
        <f>IF(Fact_Betting_Table[[#This Row],[Result HomeAway]]="", "", IF(Fact_Betting_Table[[#This Row],[Result HomeAway]]=Fact_Betting_Table[[#This Row],[Prediction HomeAway]],1,0))</f>
        <v>1</v>
      </c>
    </row>
    <row r="17" spans="1:20" x14ac:dyDescent="0.25">
      <c r="A17" s="2">
        <v>46145.416666666664</v>
      </c>
      <c r="B17">
        <v>129990908</v>
      </c>
      <c r="C17" t="s">
        <v>16</v>
      </c>
      <c r="D17" t="s">
        <v>19</v>
      </c>
      <c r="E17">
        <v>0.48826622962951699</v>
      </c>
      <c r="F17">
        <v>0.51173377037048295</v>
      </c>
      <c r="G17" t="s">
        <v>19</v>
      </c>
      <c r="H17" s="2"/>
      <c r="M17" t="str" cm="1">
        <f t="array" ref="M17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7" t="str" cm="1">
        <f t="array" ref="N1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7" t="str">
        <f>IF(Fact_Betting_Table[[#This Row],[B365 Closing Line]]="", "", Fact_Betting_Table[[#This Row],[Bet Line]]/Fact_Betting_Table[[#This Row],[B365 Closing Line]]-1)</f>
        <v/>
      </c>
      <c r="Q17" cm="1">
        <f t="array" ref="Q17">_xlfn.IFS(Fact_Betting_Table[[#This Row],[prediction]]=Fact_Betting_Table[[#This Row],[home_team]], 1, Fact_Betting_Table[[#This Row],[prediction]]=Fact_Betting_Table[[#This Row],[away_team]], 0)</f>
        <v>0</v>
      </c>
      <c r="R17">
        <v>1</v>
      </c>
      <c r="S17" t="str" cm="1">
        <f t="array" ref="S17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17" s="3">
        <f>IF(Fact_Betting_Table[[#This Row],[Result HomeAway]]="", "", IF(Fact_Betting_Table[[#This Row],[Result HomeAway]]=Fact_Betting_Table[[#This Row],[Prediction HomeAway]],1,0))</f>
        <v>0</v>
      </c>
    </row>
    <row r="18" spans="1:20" x14ac:dyDescent="0.25">
      <c r="A18" s="2">
        <v>46149.416666666664</v>
      </c>
      <c r="B18">
        <v>129991001</v>
      </c>
      <c r="C18" t="s">
        <v>12</v>
      </c>
      <c r="D18" t="s">
        <v>8</v>
      </c>
      <c r="E18">
        <v>0.51074704527854897</v>
      </c>
      <c r="F18">
        <v>0.48925295472145103</v>
      </c>
      <c r="G18" t="s">
        <v>12</v>
      </c>
      <c r="H18" s="2"/>
      <c r="M18" t="str" cm="1">
        <f t="array" ref="M18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8" t="str" cm="1">
        <f t="array" ref="N1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8" t="str">
        <f>IF(Fact_Betting_Table[[#This Row],[B365 Closing Line]]="", "", Fact_Betting_Table[[#This Row],[Bet Line]]/Fact_Betting_Table[[#This Row],[B365 Closing Line]]-1)</f>
        <v/>
      </c>
      <c r="Q18" cm="1">
        <f t="array" ref="Q18">_xlfn.IFS(Fact_Betting_Table[[#This Row],[prediction]]=Fact_Betting_Table[[#This Row],[home_team]], 1, Fact_Betting_Table[[#This Row],[prediction]]=Fact_Betting_Table[[#This Row],[away_team]], 0)</f>
        <v>1</v>
      </c>
      <c r="R18">
        <v>1</v>
      </c>
      <c r="S18" t="str" cm="1">
        <f t="array" ref="S18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18" s="3">
        <f>IF(Fact_Betting_Table[[#This Row],[Result HomeAway]]="", "", IF(Fact_Betting_Table[[#This Row],[Result HomeAway]]=Fact_Betting_Table[[#This Row],[Prediction HomeAway]],1,0))</f>
        <v>1</v>
      </c>
    </row>
    <row r="19" spans="1:20" x14ac:dyDescent="0.25">
      <c r="A19" s="2">
        <v>46150.416666666664</v>
      </c>
      <c r="B19">
        <v>129991002</v>
      </c>
      <c r="C19" t="s">
        <v>10</v>
      </c>
      <c r="D19" t="s">
        <v>22</v>
      </c>
      <c r="E19">
        <v>0.62290695309638999</v>
      </c>
      <c r="F19">
        <v>0.37709304690361001</v>
      </c>
      <c r="G19" t="s">
        <v>10</v>
      </c>
      <c r="H19" s="2"/>
      <c r="M19" t="str" cm="1">
        <f t="array" ref="M19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19" t="str" cm="1">
        <f t="array" ref="N1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19" t="str">
        <f>IF(Fact_Betting_Table[[#This Row],[B365 Closing Line]]="", "", Fact_Betting_Table[[#This Row],[Bet Line]]/Fact_Betting_Table[[#This Row],[B365 Closing Line]]-1)</f>
        <v/>
      </c>
      <c r="Q19" cm="1">
        <f t="array" ref="Q19">_xlfn.IFS(Fact_Betting_Table[[#This Row],[prediction]]=Fact_Betting_Table[[#This Row],[home_team]], 1, Fact_Betting_Table[[#This Row],[prediction]]=Fact_Betting_Table[[#This Row],[away_team]], 0)</f>
        <v>1</v>
      </c>
      <c r="R19">
        <v>1</v>
      </c>
      <c r="S19" t="str" cm="1">
        <f t="array" ref="S19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19" s="3">
        <f>IF(Fact_Betting_Table[[#This Row],[Result HomeAway]]="", "", IF(Fact_Betting_Table[[#This Row],[Result HomeAway]]=Fact_Betting_Table[[#This Row],[Prediction HomeAway]],1,0))</f>
        <v>1</v>
      </c>
    </row>
    <row r="20" spans="1:20" x14ac:dyDescent="0.25">
      <c r="A20" s="2">
        <v>46150.416666666664</v>
      </c>
      <c r="B20">
        <v>129991003</v>
      </c>
      <c r="C20" t="s">
        <v>7</v>
      </c>
      <c r="D20" t="s">
        <v>18</v>
      </c>
      <c r="E20">
        <v>0.47514605522155801</v>
      </c>
      <c r="F20">
        <v>0.52485394477844205</v>
      </c>
      <c r="G20" t="s">
        <v>18</v>
      </c>
      <c r="H20" s="2"/>
      <c r="M20" t="str" cm="1">
        <f t="array" ref="M20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0" t="str" cm="1">
        <f t="array" ref="N2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0" t="str">
        <f>IF(Fact_Betting_Table[[#This Row],[B365 Closing Line]]="", "", Fact_Betting_Table[[#This Row],[Bet Line]]/Fact_Betting_Table[[#This Row],[B365 Closing Line]]-1)</f>
        <v/>
      </c>
      <c r="Q20" cm="1">
        <f t="array" ref="Q20">_xlfn.IFS(Fact_Betting_Table[[#This Row],[prediction]]=Fact_Betting_Table[[#This Row],[home_team]], 1, Fact_Betting_Table[[#This Row],[prediction]]=Fact_Betting_Table[[#This Row],[away_team]], 0)</f>
        <v>0</v>
      </c>
      <c r="R20">
        <v>0</v>
      </c>
      <c r="S20" t="str" cm="1">
        <f t="array" ref="S20">_xlfn.IFS(Fact_Betting_Table[[#This Row],[Result HomeAway]]=1,Fact_Betting_Table[[#This Row],[home_team]],Fact_Betting_Table[[#This Row],[Result HomeAway]]="","",Fact_Betting_Table[[#This Row],[Result HomeAway]]=0,Fact_Betting_Table[[#This Row],[away_team]])</f>
        <v>Eels</v>
      </c>
      <c r="T20" s="3">
        <f>IF(Fact_Betting_Table[[#This Row],[Result HomeAway]]="", "", IF(Fact_Betting_Table[[#This Row],[Result HomeAway]]=Fact_Betting_Table[[#This Row],[Prediction HomeAway]],1,0))</f>
        <v>1</v>
      </c>
    </row>
    <row r="21" spans="1:20" x14ac:dyDescent="0.25">
      <c r="A21" s="2">
        <v>46151.416666666664</v>
      </c>
      <c r="B21">
        <v>129991004</v>
      </c>
      <c r="C21" t="s">
        <v>11</v>
      </c>
      <c r="D21" t="s">
        <v>17</v>
      </c>
      <c r="E21">
        <v>0.46244102716445901</v>
      </c>
      <c r="F21">
        <v>0.53755897283554099</v>
      </c>
      <c r="G21" t="s">
        <v>17</v>
      </c>
      <c r="H21" s="2"/>
      <c r="M21" t="str" cm="1">
        <f t="array" ref="M21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1" t="str" cm="1">
        <f t="array" ref="N2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1" t="str">
        <f>IF(Fact_Betting_Table[[#This Row],[B365 Closing Line]]="", "", Fact_Betting_Table[[#This Row],[Bet Line]]/Fact_Betting_Table[[#This Row],[B365 Closing Line]]-1)</f>
        <v/>
      </c>
      <c r="Q21" cm="1">
        <f t="array" ref="Q21">_xlfn.IFS(Fact_Betting_Table[[#This Row],[prediction]]=Fact_Betting_Table[[#This Row],[home_team]], 1, Fact_Betting_Table[[#This Row],[prediction]]=Fact_Betting_Table[[#This Row],[away_team]], 0)</f>
        <v>0</v>
      </c>
      <c r="R21">
        <v>0</v>
      </c>
      <c r="S21" t="str" cm="1">
        <f t="array" ref="S21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21" s="3">
        <f>IF(Fact_Betting_Table[[#This Row],[Result HomeAway]]="", "", IF(Fact_Betting_Table[[#This Row],[Result HomeAway]]=Fact_Betting_Table[[#This Row],[Prediction HomeAway]],1,0))</f>
        <v>1</v>
      </c>
    </row>
    <row r="22" spans="1:20" x14ac:dyDescent="0.25">
      <c r="A22" s="2">
        <v>46151.416666666664</v>
      </c>
      <c r="B22">
        <v>129991005</v>
      </c>
      <c r="C22" t="s">
        <v>14</v>
      </c>
      <c r="D22" t="s">
        <v>6</v>
      </c>
      <c r="E22">
        <v>0.53827929496765103</v>
      </c>
      <c r="F22">
        <v>0.46172070503234902</v>
      </c>
      <c r="G22" t="s">
        <v>14</v>
      </c>
      <c r="H22" s="2"/>
      <c r="M22" t="str" cm="1">
        <f t="array" ref="M22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2" t="str" cm="1">
        <f t="array" ref="N2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2" t="str">
        <f>IF(Fact_Betting_Table[[#This Row],[B365 Closing Line]]="", "", Fact_Betting_Table[[#This Row],[Bet Line]]/Fact_Betting_Table[[#This Row],[B365 Closing Line]]-1)</f>
        <v/>
      </c>
      <c r="Q22" cm="1">
        <f t="array" ref="Q22">_xlfn.IFS(Fact_Betting_Table[[#This Row],[prediction]]=Fact_Betting_Table[[#This Row],[home_team]], 1, Fact_Betting_Table[[#This Row],[prediction]]=Fact_Betting_Table[[#This Row],[away_team]], 0)</f>
        <v>1</v>
      </c>
      <c r="R22">
        <v>1</v>
      </c>
      <c r="S22" t="str" cm="1">
        <f t="array" ref="S22">_xlfn.IFS(Fact_Betting_Table[[#This Row],[Result HomeAway]]=1,Fact_Betting_Table[[#This Row],[home_team]],Fact_Betting_Table[[#This Row],[Result HomeAway]]="","",Fact_Betting_Table[[#This Row],[Result HomeAway]]=0,Fact_Betting_Table[[#This Row],[away_team]])</f>
        <v>Rabbitohs</v>
      </c>
      <c r="T22" s="3">
        <f>IF(Fact_Betting_Table[[#This Row],[Result HomeAway]]="", "", IF(Fact_Betting_Table[[#This Row],[Result HomeAway]]=Fact_Betting_Table[[#This Row],[Prediction HomeAway]],1,0))</f>
        <v>1</v>
      </c>
    </row>
    <row r="23" spans="1:20" x14ac:dyDescent="0.25">
      <c r="A23" s="2">
        <v>46151.416666666664</v>
      </c>
      <c r="B23">
        <v>129991006</v>
      </c>
      <c r="C23" t="s">
        <v>19</v>
      </c>
      <c r="D23" t="s">
        <v>9</v>
      </c>
      <c r="E23">
        <v>0.41448318958282498</v>
      </c>
      <c r="F23">
        <v>0.58551681041717496</v>
      </c>
      <c r="G23" t="s">
        <v>9</v>
      </c>
      <c r="H23" s="2"/>
      <c r="M23" t="str" cm="1">
        <f t="array" ref="M23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3" t="str" cm="1">
        <f t="array" ref="N2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3" t="str">
        <f>IF(Fact_Betting_Table[[#This Row],[B365 Closing Line]]="", "", Fact_Betting_Table[[#This Row],[Bet Line]]/Fact_Betting_Table[[#This Row],[B365 Closing Line]]-1)</f>
        <v/>
      </c>
      <c r="Q23" cm="1">
        <f t="array" ref="Q23">_xlfn.IFS(Fact_Betting_Table[[#This Row],[prediction]]=Fact_Betting_Table[[#This Row],[home_team]], 1, Fact_Betting_Table[[#This Row],[prediction]]=Fact_Betting_Table[[#This Row],[away_team]], 0)</f>
        <v>0</v>
      </c>
      <c r="R23">
        <v>1</v>
      </c>
      <c r="S23" t="str" cm="1">
        <f t="array" ref="S23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23" s="3">
        <f>IF(Fact_Betting_Table[[#This Row],[Result HomeAway]]="", "", IF(Fact_Betting_Table[[#This Row],[Result HomeAway]]=Fact_Betting_Table[[#This Row],[Prediction HomeAway]],1,0))</f>
        <v>0</v>
      </c>
    </row>
    <row r="24" spans="1:20" x14ac:dyDescent="0.25">
      <c r="A24" s="2">
        <v>46152.416666666664</v>
      </c>
      <c r="B24">
        <v>129991007</v>
      </c>
      <c r="C24" t="s">
        <v>15</v>
      </c>
      <c r="D24" t="s">
        <v>5</v>
      </c>
      <c r="E24">
        <v>0.52475470304489102</v>
      </c>
      <c r="F24">
        <v>0.47524529695510898</v>
      </c>
      <c r="G24" t="s">
        <v>15</v>
      </c>
      <c r="H24" s="2"/>
      <c r="M24" t="str" cm="1">
        <f t="array" ref="M24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4" t="str" cm="1">
        <f t="array" ref="N2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4" t="str">
        <f>IF(Fact_Betting_Table[[#This Row],[B365 Closing Line]]="", "", Fact_Betting_Table[[#This Row],[Bet Line]]/Fact_Betting_Table[[#This Row],[B365 Closing Line]]-1)</f>
        <v/>
      </c>
      <c r="Q24" cm="1">
        <f t="array" ref="Q24">_xlfn.IFS(Fact_Betting_Table[[#This Row],[prediction]]=Fact_Betting_Table[[#This Row],[home_team]], 1, Fact_Betting_Table[[#This Row],[prediction]]=Fact_Betting_Table[[#This Row],[away_team]], 0)</f>
        <v>1</v>
      </c>
      <c r="R24">
        <v>1</v>
      </c>
      <c r="S24" t="str" cm="1">
        <f t="array" ref="S24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24" s="3">
        <f>IF(Fact_Betting_Table[[#This Row],[Result HomeAway]]="", "", IF(Fact_Betting_Table[[#This Row],[Result HomeAway]]=Fact_Betting_Table[[#This Row],[Prediction HomeAway]],1,0))</f>
        <v>1</v>
      </c>
    </row>
    <row r="25" spans="1:20" x14ac:dyDescent="0.25">
      <c r="A25" s="2">
        <v>46152.416666666664</v>
      </c>
      <c r="B25">
        <v>129991008</v>
      </c>
      <c r="C25" t="s">
        <v>4</v>
      </c>
      <c r="D25" t="s">
        <v>16</v>
      </c>
      <c r="E25">
        <v>0.49045950174331698</v>
      </c>
      <c r="F25">
        <v>0.50954049825668302</v>
      </c>
      <c r="G25" t="s">
        <v>16</v>
      </c>
      <c r="H25" s="2"/>
      <c r="M25" t="str" cm="1">
        <f t="array" ref="M25">_xlfn.IFS(Fact_Betting_Table[[#This Row],[ev_bet]]=Fact_Betting_Table[[#This Row],[home_team]],"Home",Fact_Betting_Table[[#This Row],[ev_bet]]=Fact_Betting_Table[[#This Row],[away_team]],"Away",Fact_Betting_Table[[#This Row],[ev_bet]]="","")</f>
        <v/>
      </c>
      <c r="N25" t="str" cm="1">
        <f t="array" ref="N2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/>
      </c>
      <c r="P25" t="str">
        <f>IF(Fact_Betting_Table[[#This Row],[B365 Closing Line]]="", "", Fact_Betting_Table[[#This Row],[Bet Line]]/Fact_Betting_Table[[#This Row],[B365 Closing Line]]-1)</f>
        <v/>
      </c>
      <c r="Q25" cm="1">
        <f t="array" ref="Q25">_xlfn.IFS(Fact_Betting_Table[[#This Row],[prediction]]=Fact_Betting_Table[[#This Row],[home_team]], 1, Fact_Betting_Table[[#This Row],[prediction]]=Fact_Betting_Table[[#This Row],[away_team]], 0)</f>
        <v>0</v>
      </c>
      <c r="R25">
        <v>0</v>
      </c>
      <c r="S25" t="str" cm="1">
        <f t="array" ref="S25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25" s="3">
        <f>IF(Fact_Betting_Table[[#This Row],[Result HomeAway]]="", "", IF(Fact_Betting_Table[[#This Row],[Result HomeAway]]=Fact_Betting_Table[[#This Row],[Prediction HomeAway]],1,0))</f>
        <v>1</v>
      </c>
    </row>
    <row r="26" spans="1:20" x14ac:dyDescent="0.25">
      <c r="A26" s="2">
        <v>46157.416666666664</v>
      </c>
      <c r="B26">
        <v>129991101</v>
      </c>
      <c r="C26" t="s">
        <v>6</v>
      </c>
      <c r="D26" t="s">
        <v>8</v>
      </c>
      <c r="E26">
        <v>0.584493428468704</v>
      </c>
      <c r="F26">
        <v>0.415506571531296</v>
      </c>
      <c r="G26" t="s">
        <v>6</v>
      </c>
      <c r="H26" s="2">
        <v>46157.75</v>
      </c>
      <c r="I26">
        <v>1.48</v>
      </c>
      <c r="J26">
        <v>2.67</v>
      </c>
      <c r="K26" t="s">
        <v>61</v>
      </c>
      <c r="L26" t="s">
        <v>8</v>
      </c>
      <c r="M26" t="str" cm="1">
        <f t="array" ref="M26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26" cm="1">
        <f t="array" ref="N2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2.67</v>
      </c>
      <c r="O26">
        <v>2.6</v>
      </c>
      <c r="P26">
        <f>IF(Fact_Betting_Table[[#This Row],[B365 Closing Line]]="", "", Fact_Betting_Table[[#This Row],[Bet Line]]/Fact_Betting_Table[[#This Row],[B365 Closing Line]]-1)</f>
        <v>2.6923076923076827E-2</v>
      </c>
      <c r="Q26" cm="1">
        <f t="array" ref="Q26">_xlfn.IFS(Fact_Betting_Table[[#This Row],[prediction]]=Fact_Betting_Table[[#This Row],[home_team]], 1, Fact_Betting_Table[[#This Row],[prediction]]=Fact_Betting_Table[[#This Row],[away_team]], 0)</f>
        <v>1</v>
      </c>
      <c r="R26">
        <v>1</v>
      </c>
      <c r="S26" t="str" cm="1">
        <f t="array" ref="S26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26" s="3">
        <f>IF(Fact_Betting_Table[[#This Row],[Result HomeAway]]="", "", IF(Fact_Betting_Table[[#This Row],[Result HomeAway]]=Fact_Betting_Table[[#This Row],[Prediction HomeAway]],1,0))</f>
        <v>1</v>
      </c>
    </row>
    <row r="27" spans="1:20" x14ac:dyDescent="0.25">
      <c r="A27" s="2">
        <v>46157.416666666664</v>
      </c>
      <c r="B27">
        <v>129991102</v>
      </c>
      <c r="C27" t="s">
        <v>14</v>
      </c>
      <c r="D27" t="s">
        <v>12</v>
      </c>
      <c r="E27">
        <v>0.57210445404052701</v>
      </c>
      <c r="F27">
        <v>0.42789554595947299</v>
      </c>
      <c r="G27" t="s">
        <v>14</v>
      </c>
      <c r="H27" s="2">
        <v>46157.836805555555</v>
      </c>
      <c r="I27">
        <v>2.0499999999999998</v>
      </c>
      <c r="J27">
        <v>1.77</v>
      </c>
      <c r="K27" t="s">
        <v>62</v>
      </c>
      <c r="L27" t="s">
        <v>14</v>
      </c>
      <c r="M27" t="str" cm="1">
        <f t="array" ref="M27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27" cm="1">
        <f t="array" ref="N2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2.0499999999999998</v>
      </c>
      <c r="O27">
        <v>2.15</v>
      </c>
      <c r="P27">
        <f>IF(Fact_Betting_Table[[#This Row],[B365 Closing Line]]="", "", Fact_Betting_Table[[#This Row],[Bet Line]]/Fact_Betting_Table[[#This Row],[B365 Closing Line]]-1)</f>
        <v>-4.6511627906976827E-2</v>
      </c>
      <c r="Q27" cm="1">
        <f t="array" ref="Q27">_xlfn.IFS(Fact_Betting_Table[[#This Row],[prediction]]=Fact_Betting_Table[[#This Row],[home_team]], 1, Fact_Betting_Table[[#This Row],[prediction]]=Fact_Betting_Table[[#This Row],[away_team]], 0)</f>
        <v>1</v>
      </c>
      <c r="R27">
        <v>0</v>
      </c>
      <c r="S27" t="str" cm="1">
        <f t="array" ref="S27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27" s="3">
        <f>IF(Fact_Betting_Table[[#This Row],[Result HomeAway]]="", "", IF(Fact_Betting_Table[[#This Row],[Result HomeAway]]=Fact_Betting_Table[[#This Row],[Prediction HomeAway]],1,0))</f>
        <v>0</v>
      </c>
    </row>
    <row r="28" spans="1:20" x14ac:dyDescent="0.25">
      <c r="A28" s="2">
        <v>46158.416666666664</v>
      </c>
      <c r="B28">
        <v>129991103</v>
      </c>
      <c r="C28" t="s">
        <v>5</v>
      </c>
      <c r="D28" t="s">
        <v>19</v>
      </c>
      <c r="E28">
        <v>0.47613638639450101</v>
      </c>
      <c r="F28">
        <v>0.52386361360549905</v>
      </c>
      <c r="G28" t="s">
        <v>19</v>
      </c>
      <c r="H28" s="2">
        <v>46158.625</v>
      </c>
      <c r="I28">
        <v>3.7</v>
      </c>
      <c r="J28">
        <v>1.28</v>
      </c>
      <c r="K28" t="s">
        <v>62</v>
      </c>
      <c r="L28" t="s">
        <v>5</v>
      </c>
      <c r="M28" t="str" cm="1">
        <f t="array" ref="M28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28" cm="1">
        <f t="array" ref="N2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3.7</v>
      </c>
      <c r="O28">
        <v>3.6</v>
      </c>
      <c r="P28">
        <f>IF(Fact_Betting_Table[[#This Row],[B365 Closing Line]]="", "", Fact_Betting_Table[[#This Row],[Bet Line]]/Fact_Betting_Table[[#This Row],[B365 Closing Line]]-1)</f>
        <v>2.7777777777777901E-2</v>
      </c>
      <c r="Q28" cm="1">
        <f t="array" ref="Q28">_xlfn.IFS(Fact_Betting_Table[[#This Row],[prediction]]=Fact_Betting_Table[[#This Row],[home_team]], 1, Fact_Betting_Table[[#This Row],[prediction]]=Fact_Betting_Table[[#This Row],[away_team]], 0)</f>
        <v>0</v>
      </c>
      <c r="R28">
        <v>0</v>
      </c>
      <c r="S28" t="str" cm="1">
        <f t="array" ref="S28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28" s="3">
        <f>IF(Fact_Betting_Table[[#This Row],[Result HomeAway]]="", "", IF(Fact_Betting_Table[[#This Row],[Result HomeAway]]=Fact_Betting_Table[[#This Row],[Prediction HomeAway]],1,0))</f>
        <v>1</v>
      </c>
    </row>
    <row r="29" spans="1:20" x14ac:dyDescent="0.25">
      <c r="A29" s="2">
        <v>46158.416666666664</v>
      </c>
      <c r="B29">
        <v>129991104</v>
      </c>
      <c r="C29" t="s">
        <v>10</v>
      </c>
      <c r="D29" t="s">
        <v>7</v>
      </c>
      <c r="E29">
        <v>0.52142664790153503</v>
      </c>
      <c r="F29">
        <v>0.47857335209846502</v>
      </c>
      <c r="G29" t="s">
        <v>10</v>
      </c>
      <c r="H29" s="2">
        <v>46158.729166666664</v>
      </c>
      <c r="I29">
        <v>1.19</v>
      </c>
      <c r="J29">
        <v>4.75</v>
      </c>
      <c r="K29" t="s">
        <v>63</v>
      </c>
      <c r="L29" t="s">
        <v>7</v>
      </c>
      <c r="M29" t="str" cm="1">
        <f t="array" ref="M29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29" cm="1">
        <f t="array" ref="N2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4.75</v>
      </c>
      <c r="O29">
        <v>4.75</v>
      </c>
      <c r="P29">
        <f>IF(Fact_Betting_Table[[#This Row],[B365 Closing Line]]="", "", Fact_Betting_Table[[#This Row],[Bet Line]]/Fact_Betting_Table[[#This Row],[B365 Closing Line]]-1)</f>
        <v>0</v>
      </c>
      <c r="Q29" cm="1">
        <f t="array" ref="Q29">_xlfn.IFS(Fact_Betting_Table[[#This Row],[prediction]]=Fact_Betting_Table[[#This Row],[home_team]], 1, Fact_Betting_Table[[#This Row],[prediction]]=Fact_Betting_Table[[#This Row],[away_team]], 0)</f>
        <v>1</v>
      </c>
      <c r="R29">
        <v>0</v>
      </c>
      <c r="S29" t="str" cm="1">
        <f t="array" ref="S29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29" s="3">
        <f>IF(Fact_Betting_Table[[#This Row],[Result HomeAway]]="", "", IF(Fact_Betting_Table[[#This Row],[Result HomeAway]]=Fact_Betting_Table[[#This Row],[Prediction HomeAway]],1,0))</f>
        <v>0</v>
      </c>
    </row>
    <row r="30" spans="1:20" x14ac:dyDescent="0.25">
      <c r="A30" s="2">
        <v>46158.416666666664</v>
      </c>
      <c r="B30">
        <v>129991105</v>
      </c>
      <c r="C30" t="s">
        <v>18</v>
      </c>
      <c r="D30" t="s">
        <v>15</v>
      </c>
      <c r="E30">
        <v>0.511417716741562</v>
      </c>
      <c r="F30">
        <v>0.488582283258438</v>
      </c>
      <c r="G30" t="s">
        <v>18</v>
      </c>
      <c r="H30" s="2">
        <v>46158.822916666664</v>
      </c>
      <c r="I30">
        <v>3.14</v>
      </c>
      <c r="J30">
        <v>1.37</v>
      </c>
      <c r="K30" t="s">
        <v>61</v>
      </c>
      <c r="L30" t="s">
        <v>18</v>
      </c>
      <c r="M30" t="str" cm="1">
        <f t="array" ref="M30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30" cm="1">
        <f t="array" ref="N3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3.14</v>
      </c>
      <c r="O30">
        <v>3.2</v>
      </c>
      <c r="P30">
        <f>IF(Fact_Betting_Table[[#This Row],[B365 Closing Line]]="", "", Fact_Betting_Table[[#This Row],[Bet Line]]/Fact_Betting_Table[[#This Row],[B365 Closing Line]]-1)</f>
        <v>-1.8750000000000044E-2</v>
      </c>
      <c r="Q30" cm="1">
        <f t="array" ref="Q30">_xlfn.IFS(Fact_Betting_Table[[#This Row],[prediction]]=Fact_Betting_Table[[#This Row],[home_team]], 1, Fact_Betting_Table[[#This Row],[prediction]]=Fact_Betting_Table[[#This Row],[away_team]], 0)</f>
        <v>1</v>
      </c>
      <c r="R30">
        <v>0</v>
      </c>
      <c r="S30" t="str" cm="1">
        <f t="array" ref="S30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30" s="3">
        <f>IF(Fact_Betting_Table[[#This Row],[Result HomeAway]]="", "", IF(Fact_Betting_Table[[#This Row],[Result HomeAway]]=Fact_Betting_Table[[#This Row],[Prediction HomeAway]],1,0))</f>
        <v>0</v>
      </c>
    </row>
    <row r="31" spans="1:20" x14ac:dyDescent="0.25">
      <c r="A31" s="2">
        <v>46159.416666666664</v>
      </c>
      <c r="B31">
        <v>129991106</v>
      </c>
      <c r="C31" t="s">
        <v>22</v>
      </c>
      <c r="D31" t="s">
        <v>17</v>
      </c>
      <c r="E31">
        <v>0.441200911998749</v>
      </c>
      <c r="F31">
        <v>0.558799088001251</v>
      </c>
      <c r="G31" t="s">
        <v>17</v>
      </c>
      <c r="H31" s="2">
        <v>46159.583333333336</v>
      </c>
      <c r="I31">
        <v>3.65</v>
      </c>
      <c r="J31">
        <v>1.04</v>
      </c>
      <c r="K31" t="s">
        <v>64</v>
      </c>
      <c r="L31" t="s">
        <v>22</v>
      </c>
      <c r="M31" t="str" cm="1">
        <f t="array" ref="M3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31" cm="1">
        <f t="array" ref="N3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3.65</v>
      </c>
      <c r="O31">
        <v>2.9</v>
      </c>
      <c r="P31">
        <f>IF(Fact_Betting_Table[[#This Row],[B365 Closing Line]]="", "", Fact_Betting_Table[[#This Row],[Bet Line]]/Fact_Betting_Table[[#This Row],[B365 Closing Line]]-1)</f>
        <v>0.25862068965517238</v>
      </c>
      <c r="Q31" cm="1">
        <f t="array" ref="Q31">_xlfn.IFS(Fact_Betting_Table[[#This Row],[prediction]]=Fact_Betting_Table[[#This Row],[home_team]], 1, Fact_Betting_Table[[#This Row],[prediction]]=Fact_Betting_Table[[#This Row],[away_team]], 0)</f>
        <v>0</v>
      </c>
      <c r="R31">
        <v>0</v>
      </c>
      <c r="S31" t="str" cm="1">
        <f t="array" ref="S31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31" s="3">
        <f>IF(Fact_Betting_Table[[#This Row],[Result HomeAway]]="", "", IF(Fact_Betting_Table[[#This Row],[Result HomeAway]]=Fact_Betting_Table[[#This Row],[Prediction HomeAway]],1,0))</f>
        <v>1</v>
      </c>
    </row>
    <row r="32" spans="1:20" x14ac:dyDescent="0.25">
      <c r="A32" s="2">
        <v>46159.416666666664</v>
      </c>
      <c r="B32">
        <v>129991107</v>
      </c>
      <c r="C32" t="s">
        <v>13</v>
      </c>
      <c r="D32" t="s">
        <v>9</v>
      </c>
      <c r="E32">
        <v>0.36237198114395103</v>
      </c>
      <c r="F32">
        <v>0.63762801885604903</v>
      </c>
      <c r="G32" t="s">
        <v>9</v>
      </c>
      <c r="H32" s="2">
        <v>46159.670138888891</v>
      </c>
      <c r="I32">
        <v>1.68</v>
      </c>
      <c r="J32">
        <v>2.3199999999999998</v>
      </c>
      <c r="K32" t="s">
        <v>64</v>
      </c>
      <c r="L32" t="s">
        <v>9</v>
      </c>
      <c r="M32" t="str" cm="1">
        <f t="array" ref="M32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2" cm="1">
        <f t="array" ref="N3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2.3199999999999998</v>
      </c>
      <c r="O32">
        <v>2.2000000000000002</v>
      </c>
      <c r="P32">
        <f>IF(Fact_Betting_Table[[#This Row],[B365 Closing Line]]="", "", Fact_Betting_Table[[#This Row],[Bet Line]]/Fact_Betting_Table[[#This Row],[B365 Closing Line]]-1)</f>
        <v>5.4545454545454453E-2</v>
      </c>
      <c r="Q32" cm="1">
        <f t="array" ref="Q32">_xlfn.IFS(Fact_Betting_Table[[#This Row],[prediction]]=Fact_Betting_Table[[#This Row],[home_team]], 1, Fact_Betting_Table[[#This Row],[prediction]]=Fact_Betting_Table[[#This Row],[away_team]], 0)</f>
        <v>0</v>
      </c>
      <c r="R32">
        <v>1</v>
      </c>
      <c r="S32" t="str" cm="1">
        <f t="array" ref="S32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32" s="3">
        <f>IF(Fact_Betting_Table[[#This Row],[Result HomeAway]]="", "", IF(Fact_Betting_Table[[#This Row],[Result HomeAway]]=Fact_Betting_Table[[#This Row],[Prediction HomeAway]],1,0))</f>
        <v>0</v>
      </c>
    </row>
    <row r="33" spans="1:20" x14ac:dyDescent="0.25">
      <c r="A33" s="2">
        <v>46159.416666666664</v>
      </c>
      <c r="B33">
        <v>129991108</v>
      </c>
      <c r="C33" t="s">
        <v>16</v>
      </c>
      <c r="D33" t="s">
        <v>11</v>
      </c>
      <c r="E33">
        <v>0.540525883436203</v>
      </c>
      <c r="F33">
        <v>0.459474116563797</v>
      </c>
      <c r="G33" t="s">
        <v>16</v>
      </c>
      <c r="H33" s="2">
        <v>46159.767361111109</v>
      </c>
      <c r="I33">
        <v>1.06</v>
      </c>
      <c r="J33">
        <v>14.5</v>
      </c>
      <c r="K33" t="s">
        <v>64</v>
      </c>
      <c r="L33" t="s">
        <v>11</v>
      </c>
      <c r="M33" t="str" cm="1">
        <f t="array" ref="M33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3" cm="1">
        <f t="array" ref="N3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14.5</v>
      </c>
      <c r="O33">
        <v>15</v>
      </c>
      <c r="P33">
        <f>IF(Fact_Betting_Table[[#This Row],[B365 Closing Line]]="", "", Fact_Betting_Table[[#This Row],[Bet Line]]/Fact_Betting_Table[[#This Row],[B365 Closing Line]]-1)</f>
        <v>-3.3333333333333326E-2</v>
      </c>
      <c r="Q33" cm="1">
        <f t="array" ref="Q33">_xlfn.IFS(Fact_Betting_Table[[#This Row],[prediction]]=Fact_Betting_Table[[#This Row],[home_team]], 1, Fact_Betting_Table[[#This Row],[prediction]]=Fact_Betting_Table[[#This Row],[away_team]], 0)</f>
        <v>1</v>
      </c>
      <c r="R33">
        <v>1</v>
      </c>
      <c r="S33" t="str" cm="1">
        <f t="array" ref="S33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33" s="3">
        <f>IF(Fact_Betting_Table[[#This Row],[Result HomeAway]]="", "", IF(Fact_Betting_Table[[#This Row],[Result HomeAway]]=Fact_Betting_Table[[#This Row],[Prediction HomeAway]],1,0))</f>
        <v>1</v>
      </c>
    </row>
    <row r="34" spans="1:20" x14ac:dyDescent="0.25">
      <c r="A34" s="2">
        <v>46163.416666666664</v>
      </c>
      <c r="B34">
        <v>129991201</v>
      </c>
      <c r="C34" t="s">
        <v>4</v>
      </c>
      <c r="D34" t="s">
        <v>12</v>
      </c>
      <c r="E34">
        <v>0.44810938835143999</v>
      </c>
      <c r="F34">
        <v>0.55189061164856001</v>
      </c>
      <c r="G34" t="s">
        <v>12</v>
      </c>
      <c r="H34" s="2">
        <v>46163.826388888891</v>
      </c>
      <c r="I34">
        <v>1.9</v>
      </c>
      <c r="J34">
        <v>1.9</v>
      </c>
      <c r="K34" t="s">
        <v>62</v>
      </c>
      <c r="L34" t="s">
        <v>12</v>
      </c>
      <c r="M34" t="str" cm="1">
        <f t="array" ref="M34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4" cm="1">
        <f t="array" ref="N3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1.9</v>
      </c>
      <c r="O34">
        <v>2.2000000000000002</v>
      </c>
      <c r="P34">
        <f>IF(Fact_Betting_Table[[#This Row],[B365 Closing Line]]="", "", Fact_Betting_Table[[#This Row],[Bet Line]]/Fact_Betting_Table[[#This Row],[B365 Closing Line]]-1)</f>
        <v>-0.13636363636363646</v>
      </c>
      <c r="Q34" cm="1">
        <f t="array" ref="Q34">_xlfn.IFS(Fact_Betting_Table[[#This Row],[prediction]]=Fact_Betting_Table[[#This Row],[home_team]], 1, Fact_Betting_Table[[#This Row],[prediction]]=Fact_Betting_Table[[#This Row],[away_team]], 0)</f>
        <v>0</v>
      </c>
      <c r="R34">
        <v>0</v>
      </c>
      <c r="S34" t="str" cm="1">
        <f t="array" ref="S34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34" s="3">
        <f>IF(Fact_Betting_Table[[#This Row],[Result HomeAway]]="", "", IF(Fact_Betting_Table[[#This Row],[Result HomeAway]]=Fact_Betting_Table[[#This Row],[Prediction HomeAway]],1,0))</f>
        <v>1</v>
      </c>
    </row>
    <row r="35" spans="1:20" x14ac:dyDescent="0.25">
      <c r="A35" s="2">
        <v>46164.416666666664</v>
      </c>
      <c r="B35">
        <v>129991202</v>
      </c>
      <c r="C35" t="s">
        <v>8</v>
      </c>
      <c r="D35" t="s">
        <v>15</v>
      </c>
      <c r="E35">
        <v>0.51166483759880099</v>
      </c>
      <c r="F35">
        <v>0.48833516240119901</v>
      </c>
      <c r="G35" t="s">
        <v>8</v>
      </c>
      <c r="H35" s="2">
        <v>46164.833333333336</v>
      </c>
      <c r="I35">
        <v>1.67</v>
      </c>
      <c r="J35">
        <v>2.2000000000000002</v>
      </c>
      <c r="K35" t="s">
        <v>62</v>
      </c>
      <c r="L35" t="s">
        <v>15</v>
      </c>
      <c r="M35" t="str" cm="1">
        <f t="array" ref="M3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5" cm="1">
        <f t="array" ref="N3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2.2000000000000002</v>
      </c>
      <c r="O35">
        <v>2.0499999999999998</v>
      </c>
      <c r="P35">
        <f>IF(Fact_Betting_Table[[#This Row],[B365 Closing Line]]="", "", Fact_Betting_Table[[#This Row],[Bet Line]]/Fact_Betting_Table[[#This Row],[B365 Closing Line]]-1)</f>
        <v>7.317073170731736E-2</v>
      </c>
      <c r="Q35" cm="1">
        <f t="array" ref="Q35">_xlfn.IFS(Fact_Betting_Table[[#This Row],[prediction]]=Fact_Betting_Table[[#This Row],[home_team]], 1, Fact_Betting_Table[[#This Row],[prediction]]=Fact_Betting_Table[[#This Row],[away_team]], 0)</f>
        <v>1</v>
      </c>
      <c r="R35">
        <v>1</v>
      </c>
      <c r="S35" t="str" cm="1">
        <f t="array" ref="S35">_xlfn.IFS(Fact_Betting_Table[[#This Row],[Result HomeAway]]=1,Fact_Betting_Table[[#This Row],[home_team]],Fact_Betting_Table[[#This Row],[Result HomeAway]]="","",Fact_Betting_Table[[#This Row],[Result HomeAway]]=0,Fact_Betting_Table[[#This Row],[away_team]])</f>
        <v>Bulldogs</v>
      </c>
      <c r="T35" s="3">
        <f>IF(Fact_Betting_Table[[#This Row],[Result HomeAway]]="", "", IF(Fact_Betting_Table[[#This Row],[Result HomeAway]]=Fact_Betting_Table[[#This Row],[Prediction HomeAway]],1,0))</f>
        <v>1</v>
      </c>
    </row>
    <row r="36" spans="1:20" x14ac:dyDescent="0.25">
      <c r="A36" s="2">
        <v>46165.416666666664</v>
      </c>
      <c r="B36">
        <v>129991203</v>
      </c>
      <c r="C36" t="s">
        <v>11</v>
      </c>
      <c r="D36" t="s">
        <v>13</v>
      </c>
      <c r="E36">
        <v>0.47292482852935802</v>
      </c>
      <c r="F36">
        <v>0.52707517147064198</v>
      </c>
      <c r="G36" t="s">
        <v>13</v>
      </c>
      <c r="H36" s="2">
        <v>46165.729166666664</v>
      </c>
      <c r="I36">
        <v>5</v>
      </c>
      <c r="J36">
        <v>1.18</v>
      </c>
      <c r="K36" t="s">
        <v>65</v>
      </c>
      <c r="L36" t="s">
        <v>11</v>
      </c>
      <c r="M36" t="str" cm="1">
        <f t="array" ref="M36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36" cm="1">
        <f t="array" ref="N3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5</v>
      </c>
      <c r="O36">
        <v>4</v>
      </c>
      <c r="P36">
        <f>IF(Fact_Betting_Table[[#This Row],[B365 Closing Line]]="", "", Fact_Betting_Table[[#This Row],[Bet Line]]/Fact_Betting_Table[[#This Row],[B365 Closing Line]]-1)</f>
        <v>0.25</v>
      </c>
      <c r="Q36" cm="1">
        <f t="array" ref="Q36">_xlfn.IFS(Fact_Betting_Table[[#This Row],[prediction]]=Fact_Betting_Table[[#This Row],[home_team]], 1, Fact_Betting_Table[[#This Row],[prediction]]=Fact_Betting_Table[[#This Row],[away_team]], 0)</f>
        <v>0</v>
      </c>
      <c r="R36">
        <v>0</v>
      </c>
      <c r="S36" t="str" cm="1">
        <f t="array" ref="S36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36" s="3">
        <f>IF(Fact_Betting_Table[[#This Row],[Result HomeAway]]="", "", IF(Fact_Betting_Table[[#This Row],[Result HomeAway]]=Fact_Betting_Table[[#This Row],[Prediction HomeAway]],1,0))</f>
        <v>1</v>
      </c>
    </row>
    <row r="37" spans="1:20" x14ac:dyDescent="0.25">
      <c r="A37" s="2">
        <v>46165.416666666664</v>
      </c>
      <c r="B37">
        <v>129991204</v>
      </c>
      <c r="C37" t="s">
        <v>19</v>
      </c>
      <c r="D37" t="s">
        <v>22</v>
      </c>
      <c r="E37">
        <v>0.56811690330505404</v>
      </c>
      <c r="F37">
        <v>0.43188309669494601</v>
      </c>
      <c r="G37" t="s">
        <v>19</v>
      </c>
      <c r="H37" s="2">
        <v>46165.815972222219</v>
      </c>
      <c r="I37">
        <v>1.24</v>
      </c>
      <c r="J37">
        <v>4.0999999999999996</v>
      </c>
      <c r="K37" t="s">
        <v>61</v>
      </c>
      <c r="L37" t="s">
        <v>22</v>
      </c>
      <c r="M37" t="str" cm="1">
        <f t="array" ref="M37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7" cm="1">
        <f t="array" ref="N3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4.0999999999999996</v>
      </c>
      <c r="O37">
        <v>4</v>
      </c>
      <c r="P37">
        <f>IF(Fact_Betting_Table[[#This Row],[B365 Closing Line]]="", "", Fact_Betting_Table[[#This Row],[Bet Line]]/Fact_Betting_Table[[#This Row],[B365 Closing Line]]-1)</f>
        <v>2.4999999999999911E-2</v>
      </c>
      <c r="Q37" cm="1">
        <f t="array" ref="Q37">_xlfn.IFS(Fact_Betting_Table[[#This Row],[prediction]]=Fact_Betting_Table[[#This Row],[home_team]], 1, Fact_Betting_Table[[#This Row],[prediction]]=Fact_Betting_Table[[#This Row],[away_team]], 0)</f>
        <v>1</v>
      </c>
      <c r="R37">
        <v>1</v>
      </c>
      <c r="S37" t="str" cm="1">
        <f t="array" ref="S37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37" s="3">
        <f>IF(Fact_Betting_Table[[#This Row],[Result HomeAway]]="", "", IF(Fact_Betting_Table[[#This Row],[Result HomeAway]]=Fact_Betting_Table[[#This Row],[Prediction HomeAway]],1,0))</f>
        <v>1</v>
      </c>
    </row>
    <row r="38" spans="1:20" x14ac:dyDescent="0.25">
      <c r="A38" s="2">
        <v>46166.416666666664</v>
      </c>
      <c r="B38">
        <v>129991205</v>
      </c>
      <c r="C38" t="s">
        <v>7</v>
      </c>
      <c r="D38" t="s">
        <v>14</v>
      </c>
      <c r="E38">
        <v>0.48554360866546598</v>
      </c>
      <c r="F38">
        <v>0.51445639133453402</v>
      </c>
      <c r="G38" t="s">
        <v>14</v>
      </c>
      <c r="H38" s="2">
        <v>46166.670138888891</v>
      </c>
      <c r="I38">
        <v>1.6</v>
      </c>
      <c r="J38">
        <v>2.35</v>
      </c>
      <c r="K38" t="s">
        <v>66</v>
      </c>
      <c r="L38" t="s">
        <v>14</v>
      </c>
      <c r="M38" t="str" cm="1">
        <f t="array" ref="M38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38" cm="1">
        <f t="array" ref="N3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2.35</v>
      </c>
      <c r="O38">
        <v>2.35</v>
      </c>
      <c r="P38">
        <f>IF(Fact_Betting_Table[[#This Row],[B365 Closing Line]]="", "", Fact_Betting_Table[[#This Row],[Bet Line]]/Fact_Betting_Table[[#This Row],[B365 Closing Line]]-1)</f>
        <v>0</v>
      </c>
      <c r="Q38" cm="1">
        <f t="array" ref="Q38">_xlfn.IFS(Fact_Betting_Table[[#This Row],[prediction]]=Fact_Betting_Table[[#This Row],[home_team]], 1, Fact_Betting_Table[[#This Row],[prediction]]=Fact_Betting_Table[[#This Row],[away_team]], 0)</f>
        <v>0</v>
      </c>
      <c r="R38">
        <v>1</v>
      </c>
      <c r="S38" t="str" cm="1">
        <f t="array" ref="S38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38" s="3">
        <f>IF(Fact_Betting_Table[[#This Row],[Result HomeAway]]="", "", IF(Fact_Betting_Table[[#This Row],[Result HomeAway]]=Fact_Betting_Table[[#This Row],[Prediction HomeAway]],1,0))</f>
        <v>0</v>
      </c>
    </row>
    <row r="39" spans="1:20" x14ac:dyDescent="0.25">
      <c r="A39" s="2">
        <v>46171.416666666664</v>
      </c>
      <c r="B39">
        <v>129991301</v>
      </c>
      <c r="C39" t="s">
        <v>6</v>
      </c>
      <c r="D39" t="s">
        <v>19</v>
      </c>
      <c r="E39">
        <v>0.56846743822097801</v>
      </c>
      <c r="F39">
        <v>0.43153256177902199</v>
      </c>
      <c r="G39" t="s">
        <v>6</v>
      </c>
      <c r="H39" s="2">
        <v>46171.833333333336</v>
      </c>
      <c r="I39">
        <v>1.85</v>
      </c>
      <c r="J39">
        <v>1.95</v>
      </c>
      <c r="K39" t="s">
        <v>66</v>
      </c>
      <c r="L39" t="s">
        <v>6</v>
      </c>
      <c r="M39" t="str" cm="1">
        <f t="array" ref="M39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39" cm="1">
        <f t="array" ref="N3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1.85</v>
      </c>
      <c r="O39">
        <v>1.83</v>
      </c>
      <c r="P39">
        <f>IF(Fact_Betting_Table[[#This Row],[B365 Closing Line]]="", "", Fact_Betting_Table[[#This Row],[Bet Line]]/Fact_Betting_Table[[#This Row],[B365 Closing Line]]-1)</f>
        <v>1.0928961748633892E-2</v>
      </c>
      <c r="Q39" cm="1">
        <f t="array" ref="Q39">_xlfn.IFS(Fact_Betting_Table[[#This Row],[prediction]]=Fact_Betting_Table[[#This Row],[home_team]], 1, Fact_Betting_Table[[#This Row],[prediction]]=Fact_Betting_Table[[#This Row],[away_team]], 0)</f>
        <v>1</v>
      </c>
      <c r="R39">
        <v>1</v>
      </c>
      <c r="S39" t="str" cm="1">
        <f t="array" ref="S39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39" s="3">
        <f>IF(Fact_Betting_Table[[#This Row],[Result HomeAway]]="", "", IF(Fact_Betting_Table[[#This Row],[Result HomeAway]]=Fact_Betting_Table[[#This Row],[Prediction HomeAway]],1,0))</f>
        <v>1</v>
      </c>
    </row>
    <row r="40" spans="1:20" x14ac:dyDescent="0.25">
      <c r="A40" s="2">
        <v>46172.416666666664</v>
      </c>
      <c r="B40">
        <v>129991302</v>
      </c>
      <c r="C40" t="s">
        <v>17</v>
      </c>
      <c r="D40" t="s">
        <v>18</v>
      </c>
      <c r="E40">
        <v>0.37015575170517001</v>
      </c>
      <c r="F40">
        <v>0.62984424829482999</v>
      </c>
      <c r="G40" t="s">
        <v>18</v>
      </c>
      <c r="H40" s="2">
        <v>46172.625</v>
      </c>
      <c r="I40">
        <v>1.2</v>
      </c>
      <c r="J40">
        <v>4.5999999999999996</v>
      </c>
      <c r="K40" t="s">
        <v>61</v>
      </c>
      <c r="L40" t="s">
        <v>18</v>
      </c>
      <c r="M40" t="str" cm="1">
        <f t="array" ref="M40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40" cm="1">
        <f t="array" ref="N4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4.5999999999999996</v>
      </c>
      <c r="O40">
        <v>4</v>
      </c>
      <c r="P40">
        <f>IF(Fact_Betting_Table[[#This Row],[B365 Closing Line]]="", "", Fact_Betting_Table[[#This Row],[Bet Line]]/Fact_Betting_Table[[#This Row],[B365 Closing Line]]-1)</f>
        <v>0.14999999999999991</v>
      </c>
      <c r="Q40" cm="1">
        <f t="array" ref="Q40">_xlfn.IFS(Fact_Betting_Table[[#This Row],[prediction]]=Fact_Betting_Table[[#This Row],[home_team]], 1, Fact_Betting_Table[[#This Row],[prediction]]=Fact_Betting_Table[[#This Row],[away_team]], 0)</f>
        <v>0</v>
      </c>
      <c r="R40">
        <v>1</v>
      </c>
      <c r="S40" t="str" cm="1">
        <f t="array" ref="S40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40" s="3">
        <f>IF(Fact_Betting_Table[[#This Row],[Result HomeAway]]="", "", IF(Fact_Betting_Table[[#This Row],[Result HomeAway]]=Fact_Betting_Table[[#This Row],[Prediction HomeAway]],1,0))</f>
        <v>0</v>
      </c>
    </row>
    <row r="41" spans="1:20" x14ac:dyDescent="0.25">
      <c r="A41" s="2">
        <v>46172.416666666664</v>
      </c>
      <c r="B41">
        <v>129991303</v>
      </c>
      <c r="C41" t="s">
        <v>5</v>
      </c>
      <c r="D41" t="s">
        <v>8</v>
      </c>
      <c r="E41">
        <v>0.48810619115829501</v>
      </c>
      <c r="F41">
        <v>0.51189380884170499</v>
      </c>
      <c r="G41" t="s">
        <v>8</v>
      </c>
      <c r="H41" s="2">
        <v>46172.729166666664</v>
      </c>
      <c r="I41">
        <v>1.62</v>
      </c>
      <c r="J41">
        <v>2.2999999999999998</v>
      </c>
      <c r="K41" t="s">
        <v>62</v>
      </c>
      <c r="L41" t="s">
        <v>5</v>
      </c>
      <c r="M41" t="str" cm="1">
        <f t="array" ref="M4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41" cm="1">
        <f t="array" ref="N4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1.62</v>
      </c>
      <c r="O41">
        <v>1.67</v>
      </c>
      <c r="P41">
        <f>IF(Fact_Betting_Table[[#This Row],[B365 Closing Line]]="", "", Fact_Betting_Table[[#This Row],[Bet Line]]/Fact_Betting_Table[[#This Row],[B365 Closing Line]]-1)</f>
        <v>-2.9940119760478945E-2</v>
      </c>
      <c r="Q41" cm="1">
        <f t="array" ref="Q41">_xlfn.IFS(Fact_Betting_Table[[#This Row],[prediction]]=Fact_Betting_Table[[#This Row],[home_team]], 1, Fact_Betting_Table[[#This Row],[prediction]]=Fact_Betting_Table[[#This Row],[away_team]], 0)</f>
        <v>0</v>
      </c>
      <c r="R41">
        <v>1</v>
      </c>
      <c r="S41" t="str" cm="1">
        <f t="array" ref="S41">_xlfn.IFS(Fact_Betting_Table[[#This Row],[Result HomeAway]]=1,Fact_Betting_Table[[#This Row],[home_team]],Fact_Betting_Table[[#This Row],[Result HomeAway]]="","",Fact_Betting_Table[[#This Row],[Result HomeAway]]=0,Fact_Betting_Table[[#This Row],[away_team]])</f>
        <v>Tigers</v>
      </c>
      <c r="T41" s="3">
        <f>IF(Fact_Betting_Table[[#This Row],[Result HomeAway]]="", "", IF(Fact_Betting_Table[[#This Row],[Result HomeAway]]=Fact_Betting_Table[[#This Row],[Prediction HomeAway]],1,0))</f>
        <v>0</v>
      </c>
    </row>
    <row r="42" spans="1:20" x14ac:dyDescent="0.25">
      <c r="A42" s="2">
        <v>46172.416666666664</v>
      </c>
      <c r="B42">
        <v>129991304</v>
      </c>
      <c r="C42" t="s">
        <v>15</v>
      </c>
      <c r="D42" t="s">
        <v>10</v>
      </c>
      <c r="E42">
        <v>0.50573775172233604</v>
      </c>
      <c r="F42">
        <v>0.49426224827766402</v>
      </c>
      <c r="G42" t="s">
        <v>15</v>
      </c>
      <c r="H42" s="2">
        <v>46172.815972222219</v>
      </c>
      <c r="I42">
        <v>2.1800000000000002</v>
      </c>
      <c r="J42">
        <v>1.01</v>
      </c>
      <c r="K42" t="s">
        <v>64</v>
      </c>
      <c r="L42" t="s">
        <v>15</v>
      </c>
      <c r="M42" t="str" cm="1">
        <f t="array" ref="M42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42" cm="1">
        <f t="array" ref="N4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2.1800000000000002</v>
      </c>
      <c r="O42">
        <v>2.25</v>
      </c>
      <c r="P42">
        <f>IF(Fact_Betting_Table[[#This Row],[B365 Closing Line]]="", "", Fact_Betting_Table[[#This Row],[Bet Line]]/Fact_Betting_Table[[#This Row],[B365 Closing Line]]-1)</f>
        <v>-3.1111111111111089E-2</v>
      </c>
      <c r="Q42" cm="1">
        <f t="array" ref="Q42">_xlfn.IFS(Fact_Betting_Table[[#This Row],[prediction]]=Fact_Betting_Table[[#This Row],[home_team]], 1, Fact_Betting_Table[[#This Row],[prediction]]=Fact_Betting_Table[[#This Row],[away_team]], 0)</f>
        <v>1</v>
      </c>
      <c r="R42">
        <v>1</v>
      </c>
      <c r="S42" t="str" cm="1">
        <f t="array" ref="S42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42" s="3">
        <f>IF(Fact_Betting_Table[[#This Row],[Result HomeAway]]="", "", IF(Fact_Betting_Table[[#This Row],[Result HomeAway]]=Fact_Betting_Table[[#This Row],[Prediction HomeAway]],1,0))</f>
        <v>1</v>
      </c>
    </row>
    <row r="43" spans="1:20" x14ac:dyDescent="0.25">
      <c r="A43" s="2">
        <v>46173.416666666664</v>
      </c>
      <c r="B43">
        <v>129991305</v>
      </c>
      <c r="C43" t="s">
        <v>9</v>
      </c>
      <c r="D43" t="s">
        <v>11</v>
      </c>
      <c r="E43">
        <v>0.54041472077369701</v>
      </c>
      <c r="F43">
        <v>0.45958527922630299</v>
      </c>
      <c r="G43" t="s">
        <v>9</v>
      </c>
      <c r="H43" s="2">
        <v>46173.583333333336</v>
      </c>
      <c r="I43">
        <v>1.1399999999999999</v>
      </c>
      <c r="J43">
        <v>6.8</v>
      </c>
      <c r="K43" t="s">
        <v>64</v>
      </c>
      <c r="L43" t="s">
        <v>11</v>
      </c>
      <c r="M43" t="str" cm="1">
        <f t="array" ref="M43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43" cm="1">
        <f t="array" ref="N4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6.8</v>
      </c>
      <c r="O43">
        <v>7</v>
      </c>
      <c r="P43">
        <f>IF(Fact_Betting_Table[[#This Row],[B365 Closing Line]]="", "", Fact_Betting_Table[[#This Row],[Bet Line]]/Fact_Betting_Table[[#This Row],[B365 Closing Line]]-1)</f>
        <v>-2.8571428571428581E-2</v>
      </c>
      <c r="Q43" cm="1">
        <f t="array" ref="Q43">_xlfn.IFS(Fact_Betting_Table[[#This Row],[prediction]]=Fact_Betting_Table[[#This Row],[home_team]], 1, Fact_Betting_Table[[#This Row],[prediction]]=Fact_Betting_Table[[#This Row],[away_team]], 0)</f>
        <v>1</v>
      </c>
      <c r="R43">
        <v>0</v>
      </c>
      <c r="S43" t="str" cm="1">
        <f t="array" ref="S43">_xlfn.IFS(Fact_Betting_Table[[#This Row],[Result HomeAway]]=1,Fact_Betting_Table[[#This Row],[home_team]],Fact_Betting_Table[[#This Row],[Result HomeAway]]="","",Fact_Betting_Table[[#This Row],[Result HomeAway]]=0,Fact_Betting_Table[[#This Row],[away_team]])</f>
        <v>Dragons</v>
      </c>
      <c r="T43" s="3">
        <f>IF(Fact_Betting_Table[[#This Row],[Result HomeAway]]="", "", IF(Fact_Betting_Table[[#This Row],[Result HomeAway]]=Fact_Betting_Table[[#This Row],[Prediction HomeAway]],1,0))</f>
        <v>0</v>
      </c>
    </row>
    <row r="44" spans="1:20" x14ac:dyDescent="0.25">
      <c r="A44" s="2">
        <v>46173.416666666664</v>
      </c>
      <c r="B44">
        <v>129991306</v>
      </c>
      <c r="C44" t="s">
        <v>4</v>
      </c>
      <c r="D44" t="s">
        <v>7</v>
      </c>
      <c r="E44">
        <v>0.51928183436393704</v>
      </c>
      <c r="F44">
        <v>0.48071816563606301</v>
      </c>
      <c r="G44" t="s">
        <v>4</v>
      </c>
      <c r="H44" s="2">
        <v>46173.670138888891</v>
      </c>
      <c r="I44">
        <v>1.74</v>
      </c>
      <c r="J44">
        <v>2.2000000000000002</v>
      </c>
      <c r="K44" t="s">
        <v>64</v>
      </c>
      <c r="L44" t="s">
        <v>4</v>
      </c>
      <c r="M44" t="str" cm="1">
        <f t="array" ref="M44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44" cm="1">
        <f t="array" ref="N4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1.74</v>
      </c>
      <c r="O44">
        <v>1.7</v>
      </c>
      <c r="P44">
        <f>IF(Fact_Betting_Table[[#This Row],[B365 Closing Line]]="", "", Fact_Betting_Table[[#This Row],[Bet Line]]/Fact_Betting_Table[[#This Row],[B365 Closing Line]]-1)</f>
        <v>2.3529411764705799E-2</v>
      </c>
      <c r="Q44" cm="1">
        <f t="array" ref="Q44">_xlfn.IFS(Fact_Betting_Table[[#This Row],[prediction]]=Fact_Betting_Table[[#This Row],[home_team]], 1, Fact_Betting_Table[[#This Row],[prediction]]=Fact_Betting_Table[[#This Row],[away_team]], 0)</f>
        <v>1</v>
      </c>
      <c r="R44">
        <v>1</v>
      </c>
      <c r="S44" t="str" cm="1">
        <f t="array" ref="S44">_xlfn.IFS(Fact_Betting_Table[[#This Row],[Result HomeAway]]=1,Fact_Betting_Table[[#This Row],[home_team]],Fact_Betting_Table[[#This Row],[Result HomeAway]]="","",Fact_Betting_Table[[#This Row],[Result HomeAway]]=0,Fact_Betting_Table[[#This Row],[away_team]])</f>
        <v>Raiders</v>
      </c>
      <c r="T44" s="3">
        <f>IF(Fact_Betting_Table[[#This Row],[Result HomeAway]]="", "", IF(Fact_Betting_Table[[#This Row],[Result HomeAway]]=Fact_Betting_Table[[#This Row],[Prediction HomeAway]],1,0))</f>
        <v>1</v>
      </c>
    </row>
    <row r="45" spans="1:20" x14ac:dyDescent="0.25">
      <c r="A45" s="2">
        <v>46173.416666666664</v>
      </c>
      <c r="B45">
        <v>129991307</v>
      </c>
      <c r="C45" t="s">
        <v>16</v>
      </c>
      <c r="D45" t="s">
        <v>13</v>
      </c>
      <c r="E45">
        <v>0.48409497737884499</v>
      </c>
      <c r="F45">
        <v>0.51590502262115501</v>
      </c>
      <c r="G45" t="s">
        <v>13</v>
      </c>
      <c r="H45" s="2">
        <v>46173.760416666664</v>
      </c>
      <c r="I45">
        <v>1.62</v>
      </c>
      <c r="J45">
        <v>2.2999999999999998</v>
      </c>
      <c r="K45" t="s">
        <v>62</v>
      </c>
      <c r="L45" t="s">
        <v>13</v>
      </c>
      <c r="M45" t="str" cm="1">
        <f t="array" ref="M4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45" cm="1">
        <f t="array" ref="N4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2.2999999999999998</v>
      </c>
      <c r="O45">
        <v>2.1</v>
      </c>
      <c r="P45">
        <f>IF(Fact_Betting_Table[[#This Row],[B365 Closing Line]]="", "", Fact_Betting_Table[[#This Row],[Bet Line]]/Fact_Betting_Table[[#This Row],[B365 Closing Line]]-1)</f>
        <v>9.5238095238095122E-2</v>
      </c>
      <c r="Q45" cm="1">
        <f t="array" ref="Q45">_xlfn.IFS(Fact_Betting_Table[[#This Row],[prediction]]=Fact_Betting_Table[[#This Row],[home_team]], 1, Fact_Betting_Table[[#This Row],[prediction]]=Fact_Betting_Table[[#This Row],[away_team]], 0)</f>
        <v>0</v>
      </c>
      <c r="R45">
        <v>1</v>
      </c>
      <c r="S45" t="str" cm="1">
        <f t="array" ref="S45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45" s="3">
        <f>IF(Fact_Betting_Table[[#This Row],[Result HomeAway]]="", "", IF(Fact_Betting_Table[[#This Row],[Result HomeAway]]=Fact_Betting_Table[[#This Row],[Prediction HomeAway]],1,0))</f>
        <v>0</v>
      </c>
    </row>
    <row r="46" spans="1:20" x14ac:dyDescent="0.25">
      <c r="A46" s="2">
        <v>46178.243055555555</v>
      </c>
      <c r="B46">
        <v>129991401</v>
      </c>
      <c r="C46" t="s">
        <v>19</v>
      </c>
      <c r="D46" t="s">
        <v>14</v>
      </c>
      <c r="E46">
        <v>0.59766173362731934</v>
      </c>
      <c r="F46">
        <v>0.40233826637268066</v>
      </c>
      <c r="G46" t="s">
        <v>19</v>
      </c>
      <c r="H46" s="2">
        <v>46177.826388888891</v>
      </c>
      <c r="I46">
        <v>1.5</v>
      </c>
      <c r="J46">
        <v>2.48</v>
      </c>
      <c r="K46" t="s">
        <v>64</v>
      </c>
      <c r="L46" t="s">
        <v>14</v>
      </c>
      <c r="M46" t="str" cm="1">
        <f t="array" ref="M46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46" cm="1">
        <f t="array" ref="N4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2.48</v>
      </c>
      <c r="O46">
        <v>2.4</v>
      </c>
      <c r="P46">
        <f>IF(Fact_Betting_Table[[#This Row],[B365 Closing Line]]="", "", Fact_Betting_Table[[#This Row],[Bet Line]]/Fact_Betting_Table[[#This Row],[B365 Closing Line]]-1)</f>
        <v>3.3333333333333437E-2</v>
      </c>
      <c r="Q46" cm="1">
        <f t="array" ref="Q46">_xlfn.IFS(Fact_Betting_Table[[#This Row],[prediction]]=Fact_Betting_Table[[#This Row],[home_team]], 1, Fact_Betting_Table[[#This Row],[prediction]]=Fact_Betting_Table[[#This Row],[away_team]], 0)</f>
        <v>1</v>
      </c>
      <c r="R46">
        <v>1</v>
      </c>
      <c r="S46" t="str" cm="1">
        <f t="array" ref="S46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46" s="3">
        <f>IF(Fact_Betting_Table[[#This Row],[Result HomeAway]]="", "", IF(Fact_Betting_Table[[#This Row],[Result HomeAway]]=Fact_Betting_Table[[#This Row],[Prediction HomeAway]],1,0))</f>
        <v>1</v>
      </c>
    </row>
    <row r="47" spans="1:20" x14ac:dyDescent="0.25">
      <c r="A47" s="2">
        <v>46179.166666666664</v>
      </c>
      <c r="B47">
        <v>129991402</v>
      </c>
      <c r="C47" t="s">
        <v>15</v>
      </c>
      <c r="D47" t="s">
        <v>17</v>
      </c>
      <c r="E47">
        <v>0.57940277457237244</v>
      </c>
      <c r="F47">
        <v>0.42059722542762751</v>
      </c>
      <c r="G47" t="s">
        <v>15</v>
      </c>
      <c r="H47" s="2">
        <v>46178.75</v>
      </c>
      <c r="I47">
        <v>1.65</v>
      </c>
      <c r="J47">
        <v>2.38</v>
      </c>
      <c r="K47" t="s">
        <v>64</v>
      </c>
      <c r="L47" t="s">
        <v>17</v>
      </c>
      <c r="M47" t="str" cm="1">
        <f t="array" ref="M47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47" cm="1">
        <f t="array" ref="N4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2.38</v>
      </c>
      <c r="O47">
        <v>2.33</v>
      </c>
      <c r="P47">
        <f>IF(Fact_Betting_Table[[#This Row],[B365 Closing Line]]="", "", Fact_Betting_Table[[#This Row],[Bet Line]]/Fact_Betting_Table[[#This Row],[B365 Closing Line]]-1)</f>
        <v>2.1459227467811148E-2</v>
      </c>
      <c r="Q47" cm="1">
        <f t="array" ref="Q47">_xlfn.IFS(Fact_Betting_Table[[#This Row],[prediction]]=Fact_Betting_Table[[#This Row],[home_team]], 1, Fact_Betting_Table[[#This Row],[prediction]]=Fact_Betting_Table[[#This Row],[away_team]], 0)</f>
        <v>1</v>
      </c>
      <c r="R47">
        <v>1</v>
      </c>
      <c r="S47" t="str" cm="1">
        <f t="array" ref="S47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47" s="3">
        <f>IF(Fact_Betting_Table[[#This Row],[Result HomeAway]]="", "", IF(Fact_Betting_Table[[#This Row],[Result HomeAway]]=Fact_Betting_Table[[#This Row],[Prediction HomeAway]],1,0))</f>
        <v>1</v>
      </c>
    </row>
    <row r="48" spans="1:20" x14ac:dyDescent="0.25">
      <c r="A48" s="2">
        <v>46179.25</v>
      </c>
      <c r="B48">
        <v>129991403</v>
      </c>
      <c r="C48" t="s">
        <v>4</v>
      </c>
      <c r="D48" t="s">
        <v>10</v>
      </c>
      <c r="E48">
        <v>0.50649139285087585</v>
      </c>
      <c r="F48">
        <v>0.49350860714912415</v>
      </c>
      <c r="G48" t="s">
        <v>4</v>
      </c>
      <c r="H48" s="2">
        <v>46178.833333333336</v>
      </c>
      <c r="I48">
        <v>2.2799999999999998</v>
      </c>
      <c r="J48">
        <v>1.7</v>
      </c>
      <c r="K48" t="s">
        <v>64</v>
      </c>
      <c r="L48" t="s">
        <v>4</v>
      </c>
      <c r="M48" t="str" cm="1">
        <f t="array" ref="M48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48" cm="1">
        <f t="array" ref="N4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2.2799999999999998</v>
      </c>
      <c r="O48">
        <v>2.33</v>
      </c>
      <c r="P48">
        <f>IF(Fact_Betting_Table[[#This Row],[B365 Closing Line]]="", "", Fact_Betting_Table[[#This Row],[Bet Line]]/Fact_Betting_Table[[#This Row],[B365 Closing Line]]-1)</f>
        <v>-2.1459227467811259E-2</v>
      </c>
      <c r="Q48" cm="1">
        <f t="array" ref="Q48">_xlfn.IFS(Fact_Betting_Table[[#This Row],[prediction]]=Fact_Betting_Table[[#This Row],[home_team]], 1, Fact_Betting_Table[[#This Row],[prediction]]=Fact_Betting_Table[[#This Row],[away_team]], 0)</f>
        <v>1</v>
      </c>
      <c r="R48">
        <v>0</v>
      </c>
      <c r="S48" t="str" cm="1">
        <f t="array" ref="S48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48" s="3">
        <f>IF(Fact_Betting_Table[[#This Row],[Result HomeAway]]="", "", IF(Fact_Betting_Table[[#This Row],[Result HomeAway]]=Fact_Betting_Table[[#This Row],[Prediction HomeAway]],1,0))</f>
        <v>0</v>
      </c>
    </row>
    <row r="49" spans="1:20" x14ac:dyDescent="0.25">
      <c r="A49" s="2">
        <v>46180.145833333336</v>
      </c>
      <c r="B49">
        <v>129991404</v>
      </c>
      <c r="C49" t="s">
        <v>7</v>
      </c>
      <c r="D49" t="s">
        <v>12</v>
      </c>
      <c r="E49">
        <v>0.53681030869483948</v>
      </c>
      <c r="F49">
        <v>0.46318969130516052</v>
      </c>
      <c r="G49" t="s">
        <v>7</v>
      </c>
      <c r="H49" s="2">
        <v>46179.729166666664</v>
      </c>
      <c r="I49">
        <v>2.4300000000000002</v>
      </c>
      <c r="J49">
        <v>1.56</v>
      </c>
      <c r="K49" t="s">
        <v>72</v>
      </c>
      <c r="L49" t="s">
        <v>7</v>
      </c>
      <c r="M49" t="str" cm="1">
        <f t="array" ref="M49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49" cm="1">
        <f t="array" ref="N4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2.4300000000000002</v>
      </c>
      <c r="O49">
        <v>2.8</v>
      </c>
      <c r="P49">
        <f>IF(Fact_Betting_Table[[#This Row],[B365 Closing Line]]="", "", Fact_Betting_Table[[#This Row],[Bet Line]]/Fact_Betting_Table[[#This Row],[B365 Closing Line]]-1)</f>
        <v>-0.13214285714285701</v>
      </c>
      <c r="Q49" cm="1">
        <f t="array" ref="Q49">_xlfn.IFS(Fact_Betting_Table[[#This Row],[prediction]]=Fact_Betting_Table[[#This Row],[home_team]], 1, Fact_Betting_Table[[#This Row],[prediction]]=Fact_Betting_Table[[#This Row],[away_team]], 0)</f>
        <v>1</v>
      </c>
      <c r="R49">
        <v>0</v>
      </c>
      <c r="S49" t="str" cm="1">
        <f t="array" ref="S49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49" s="3">
        <f>IF(Fact_Betting_Table[[#This Row],[Result HomeAway]]="", "", IF(Fact_Betting_Table[[#This Row],[Result HomeAway]]=Fact_Betting_Table[[#This Row],[Prediction HomeAway]],1,0))</f>
        <v>0</v>
      </c>
    </row>
    <row r="50" spans="1:20" x14ac:dyDescent="0.25">
      <c r="A50" s="2">
        <v>46180.232638888891</v>
      </c>
      <c r="B50">
        <v>129991405</v>
      </c>
      <c r="C50" t="s">
        <v>9</v>
      </c>
      <c r="D50" t="s">
        <v>22</v>
      </c>
      <c r="E50">
        <v>0.63772726058959961</v>
      </c>
      <c r="F50">
        <v>0.36227273941040039</v>
      </c>
      <c r="G50" t="s">
        <v>9</v>
      </c>
      <c r="H50" s="2">
        <v>46179.815972222219</v>
      </c>
      <c r="I50">
        <v>1.39</v>
      </c>
      <c r="J50">
        <v>3.25</v>
      </c>
      <c r="K50" t="s">
        <v>64</v>
      </c>
      <c r="L50" t="s">
        <v>22</v>
      </c>
      <c r="M50" t="str" cm="1">
        <f t="array" ref="M50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0" cm="1">
        <f t="array" ref="N5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3.25</v>
      </c>
      <c r="O50">
        <v>3.5</v>
      </c>
      <c r="P50">
        <f>IF(Fact_Betting_Table[[#This Row],[B365 Closing Line]]="", "", Fact_Betting_Table[[#This Row],[Bet Line]]/Fact_Betting_Table[[#This Row],[B365 Closing Line]]-1)</f>
        <v>-7.1428571428571397E-2</v>
      </c>
      <c r="Q50" cm="1">
        <f t="array" ref="Q50">_xlfn.IFS(Fact_Betting_Table[[#This Row],[prediction]]=Fact_Betting_Table[[#This Row],[home_team]], 1, Fact_Betting_Table[[#This Row],[prediction]]=Fact_Betting_Table[[#This Row],[away_team]], 0)</f>
        <v>1</v>
      </c>
      <c r="R50">
        <v>0</v>
      </c>
      <c r="S50" t="str" cm="1">
        <f t="array" ref="S50">_xlfn.IFS(Fact_Betting_Table[[#This Row],[Result HomeAway]]=1,Fact_Betting_Table[[#This Row],[home_team]],Fact_Betting_Table[[#This Row],[Result HomeAway]]="","",Fact_Betting_Table[[#This Row],[Result HomeAway]]=0,Fact_Betting_Table[[#This Row],[away_team]])</f>
        <v>Titans</v>
      </c>
      <c r="T50" s="3">
        <f>IF(Fact_Betting_Table[[#This Row],[Result HomeAway]]="", "", IF(Fact_Betting_Table[[#This Row],[Result HomeAway]]=Fact_Betting_Table[[#This Row],[Prediction HomeAway]],1,0))</f>
        <v>0</v>
      </c>
    </row>
    <row r="51" spans="1:20" x14ac:dyDescent="0.25">
      <c r="A51" s="2">
        <v>46181</v>
      </c>
      <c r="B51">
        <v>129991406</v>
      </c>
      <c r="C51" t="s">
        <v>5</v>
      </c>
      <c r="D51" t="s">
        <v>16</v>
      </c>
      <c r="E51">
        <v>0.41144484281539923</v>
      </c>
      <c r="F51">
        <v>0.58855515718460083</v>
      </c>
      <c r="G51" t="s">
        <v>16</v>
      </c>
      <c r="H51" s="2">
        <v>46180.583333333336</v>
      </c>
      <c r="I51">
        <v>4.4000000000000004</v>
      </c>
      <c r="J51">
        <v>1.2</v>
      </c>
      <c r="K51" t="s">
        <v>67</v>
      </c>
      <c r="L51" t="s">
        <v>5</v>
      </c>
      <c r="M51" t="str" cm="1">
        <f t="array" ref="M5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51" cm="1">
        <f t="array" ref="N5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4.4000000000000004</v>
      </c>
      <c r="O51">
        <v>5</v>
      </c>
      <c r="P51">
        <f>IF(Fact_Betting_Table[[#This Row],[B365 Closing Line]]="", "", Fact_Betting_Table[[#This Row],[Bet Line]]/Fact_Betting_Table[[#This Row],[B365 Closing Line]]-1)</f>
        <v>-0.11999999999999988</v>
      </c>
      <c r="Q51" cm="1">
        <f t="array" ref="Q51">_xlfn.IFS(Fact_Betting_Table[[#This Row],[prediction]]=Fact_Betting_Table[[#This Row],[home_team]], 1, Fact_Betting_Table[[#This Row],[prediction]]=Fact_Betting_Table[[#This Row],[away_team]], 0)</f>
        <v>0</v>
      </c>
      <c r="R51">
        <v>0</v>
      </c>
      <c r="S51" t="str" cm="1">
        <f t="array" ref="S51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51" s="3">
        <f>IF(Fact_Betting_Table[[#This Row],[Result HomeAway]]="", "", IF(Fact_Betting_Table[[#This Row],[Result HomeAway]]=Fact_Betting_Table[[#This Row],[Prediction HomeAway]],1,0))</f>
        <v>1</v>
      </c>
    </row>
    <row r="52" spans="1:20" x14ac:dyDescent="0.25">
      <c r="A52" s="2">
        <v>46181.086805555555</v>
      </c>
      <c r="B52">
        <v>129991407</v>
      </c>
      <c r="C52" t="s">
        <v>6</v>
      </c>
      <c r="D52" t="s">
        <v>11</v>
      </c>
      <c r="E52">
        <v>0.61903604865074158</v>
      </c>
      <c r="F52">
        <v>0.38096395134925842</v>
      </c>
      <c r="G52" t="s">
        <v>6</v>
      </c>
      <c r="H52" s="2">
        <v>46180.670138888891</v>
      </c>
      <c r="I52">
        <v>1.22</v>
      </c>
      <c r="J52">
        <v>4.2</v>
      </c>
      <c r="K52" t="s">
        <v>66</v>
      </c>
      <c r="L52" t="s">
        <v>11</v>
      </c>
      <c r="M52" t="str" cm="1">
        <f t="array" ref="M52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2" cm="1">
        <f t="array" ref="N5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4.2</v>
      </c>
      <c r="O52">
        <v>3.6</v>
      </c>
      <c r="P52">
        <f>IF(Fact_Betting_Table[[#This Row],[B365 Closing Line]]="", "", Fact_Betting_Table[[#This Row],[Bet Line]]/Fact_Betting_Table[[#This Row],[B365 Closing Line]]-1)</f>
        <v>0.16666666666666674</v>
      </c>
      <c r="Q52" cm="1">
        <f t="array" ref="Q52">_xlfn.IFS(Fact_Betting_Table[[#This Row],[prediction]]=Fact_Betting_Table[[#This Row],[home_team]], 1, Fact_Betting_Table[[#This Row],[prediction]]=Fact_Betting_Table[[#This Row],[away_team]], 0)</f>
        <v>1</v>
      </c>
      <c r="R52">
        <v>1</v>
      </c>
      <c r="S52" t="str" cm="1">
        <f t="array" ref="S52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52" s="3">
        <f>IF(Fact_Betting_Table[[#This Row],[Result HomeAway]]="", "", IF(Fact_Betting_Table[[#This Row],[Result HomeAway]]=Fact_Betting_Table[[#This Row],[Prediction HomeAway]],1,0))</f>
        <v>1</v>
      </c>
    </row>
    <row r="53" spans="1:20" x14ac:dyDescent="0.25">
      <c r="A53" s="2">
        <v>46182.086805555555</v>
      </c>
      <c r="B53">
        <v>129991408</v>
      </c>
      <c r="C53" t="s">
        <v>8</v>
      </c>
      <c r="D53" t="s">
        <v>18</v>
      </c>
      <c r="E53">
        <v>0.63365265727043152</v>
      </c>
      <c r="F53">
        <v>0.36634734272956848</v>
      </c>
      <c r="G53" t="s">
        <v>8</v>
      </c>
      <c r="H53" s="2">
        <v>46181.670138888891</v>
      </c>
      <c r="I53">
        <v>1.55</v>
      </c>
      <c r="J53">
        <v>2.4500000000000002</v>
      </c>
      <c r="K53" t="s">
        <v>72</v>
      </c>
      <c r="L53" t="s">
        <v>8</v>
      </c>
      <c r="M53" t="str" cm="1">
        <f t="array" ref="M53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53" cm="1">
        <f t="array" ref="N5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1.55</v>
      </c>
      <c r="O53">
        <v>1.45</v>
      </c>
      <c r="P53">
        <f>IF(Fact_Betting_Table[[#This Row],[B365 Closing Line]]="", "", Fact_Betting_Table[[#This Row],[Bet Line]]/Fact_Betting_Table[[#This Row],[B365 Closing Line]]-1)</f>
        <v>6.8965517241379448E-2</v>
      </c>
      <c r="Q53" cm="1">
        <f t="array" ref="Q53">_xlfn.IFS(Fact_Betting_Table[[#This Row],[prediction]]=Fact_Betting_Table[[#This Row],[home_team]], 1, Fact_Betting_Table[[#This Row],[prediction]]=Fact_Betting_Table[[#This Row],[away_team]], 0)</f>
        <v>1</v>
      </c>
      <c r="R53">
        <v>1</v>
      </c>
      <c r="S53" t="str" cm="1">
        <f t="array" ref="S53">_xlfn.IFS(Fact_Betting_Table[[#This Row],[Result HomeAway]]=1,Fact_Betting_Table[[#This Row],[home_team]],Fact_Betting_Table[[#This Row],[Result HomeAway]]="","",Fact_Betting_Table[[#This Row],[Result HomeAway]]=0,Fact_Betting_Table[[#This Row],[away_team]])</f>
        <v>Bulldogs</v>
      </c>
      <c r="T53" s="3">
        <f>IF(Fact_Betting_Table[[#This Row],[Result HomeAway]]="", "", IF(Fact_Betting_Table[[#This Row],[Result HomeAway]]=Fact_Betting_Table[[#This Row],[Prediction HomeAway]],1,0))</f>
        <v>1</v>
      </c>
    </row>
    <row r="54" spans="1:20" x14ac:dyDescent="0.25">
      <c r="A54" s="2">
        <v>46185.243055555555</v>
      </c>
      <c r="B54">
        <v>129991501</v>
      </c>
      <c r="C54" t="s">
        <v>14</v>
      </c>
      <c r="D54" t="s">
        <v>9</v>
      </c>
      <c r="E54">
        <v>0.59799617528915405</v>
      </c>
      <c r="F54">
        <v>0.40200382471084595</v>
      </c>
      <c r="G54" t="s">
        <v>14</v>
      </c>
      <c r="H54" s="2">
        <v>46184.826388888891</v>
      </c>
      <c r="I54">
        <v>1.46</v>
      </c>
      <c r="J54">
        <v>2.72</v>
      </c>
      <c r="K54" t="s">
        <v>63</v>
      </c>
      <c r="L54" t="s">
        <v>9</v>
      </c>
      <c r="M54" t="str" cm="1">
        <f t="array" ref="M54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4" cm="1">
        <f t="array" ref="N5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2.72</v>
      </c>
      <c r="O54">
        <v>3</v>
      </c>
      <c r="P54">
        <f>IF(Fact_Betting_Table[[#This Row],[B365 Closing Line]]="", "", Fact_Betting_Table[[#This Row],[Bet Line]]/Fact_Betting_Table[[#This Row],[B365 Closing Line]]-1)</f>
        <v>-9.3333333333333268E-2</v>
      </c>
      <c r="Q54" cm="1">
        <f t="array" ref="Q54">_xlfn.IFS(Fact_Betting_Table[[#This Row],[prediction]]=Fact_Betting_Table[[#This Row],[home_team]], 1, Fact_Betting_Table[[#This Row],[prediction]]=Fact_Betting_Table[[#This Row],[away_team]], 0)</f>
        <v>1</v>
      </c>
      <c r="R54">
        <v>1</v>
      </c>
      <c r="S54" t="str" cm="1">
        <f t="array" ref="S54">_xlfn.IFS(Fact_Betting_Table[[#This Row],[Result HomeAway]]=1,Fact_Betting_Table[[#This Row],[home_team]],Fact_Betting_Table[[#This Row],[Result HomeAway]]="","",Fact_Betting_Table[[#This Row],[Result HomeAway]]=0,Fact_Betting_Table[[#This Row],[away_team]])</f>
        <v>Rabbitohs</v>
      </c>
      <c r="T54" s="3">
        <f>IF(Fact_Betting_Table[[#This Row],[Result HomeAway]]="", "", IF(Fact_Betting_Table[[#This Row],[Result HomeAway]]=Fact_Betting_Table[[#This Row],[Prediction HomeAway]],1,0))</f>
        <v>1</v>
      </c>
    </row>
    <row r="55" spans="1:20" x14ac:dyDescent="0.25">
      <c r="A55" s="2">
        <v>46186.25</v>
      </c>
      <c r="B55">
        <v>129991502</v>
      </c>
      <c r="C55" t="s">
        <v>12</v>
      </c>
      <c r="D55" t="s">
        <v>10</v>
      </c>
      <c r="E55">
        <v>0.55398476123809814</v>
      </c>
      <c r="F55">
        <v>0.44601523876190186</v>
      </c>
      <c r="G55" t="s">
        <v>12</v>
      </c>
      <c r="H55" s="2">
        <v>46185.833333333336</v>
      </c>
      <c r="I55">
        <v>1.47</v>
      </c>
      <c r="J55">
        <v>2.7</v>
      </c>
      <c r="K55" t="s">
        <v>66</v>
      </c>
      <c r="L55" t="s">
        <v>10</v>
      </c>
      <c r="M55" t="str" cm="1">
        <f t="array" ref="M5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5" cm="1">
        <f t="array" ref="N5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2.7</v>
      </c>
      <c r="O55">
        <v>3.2</v>
      </c>
      <c r="P55">
        <f>IF(Fact_Betting_Table[[#This Row],[B365 Closing Line]]="", "", Fact_Betting_Table[[#This Row],[Bet Line]]/Fact_Betting_Table[[#This Row],[B365 Closing Line]]-1)</f>
        <v>-0.15625</v>
      </c>
      <c r="Q55" cm="1">
        <f t="array" ref="Q55">_xlfn.IFS(Fact_Betting_Table[[#This Row],[prediction]]=Fact_Betting_Table[[#This Row],[home_team]], 1, Fact_Betting_Table[[#This Row],[prediction]]=Fact_Betting_Table[[#This Row],[away_team]], 0)</f>
        <v>1</v>
      </c>
      <c r="R55">
        <v>1</v>
      </c>
      <c r="S55" t="str" cm="1">
        <f t="array" ref="S55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55" s="3">
        <f>IF(Fact_Betting_Table[[#This Row],[Result HomeAway]]="", "", IF(Fact_Betting_Table[[#This Row],[Result HomeAway]]=Fact_Betting_Table[[#This Row],[Prediction HomeAway]],1,0))</f>
        <v>1</v>
      </c>
    </row>
    <row r="56" spans="1:20" x14ac:dyDescent="0.25">
      <c r="A56" s="2">
        <v>46187.229166666664</v>
      </c>
      <c r="B56">
        <v>129991503</v>
      </c>
      <c r="C56" t="s">
        <v>13</v>
      </c>
      <c r="D56" t="s">
        <v>6</v>
      </c>
      <c r="E56">
        <v>0.60755982995033264</v>
      </c>
      <c r="F56">
        <v>0.39244017004966736</v>
      </c>
      <c r="G56" t="s">
        <v>13</v>
      </c>
      <c r="H56" s="2">
        <v>46186.732638888891</v>
      </c>
      <c r="I56">
        <v>1.32</v>
      </c>
      <c r="J56">
        <v>3.4</v>
      </c>
      <c r="K56" t="s">
        <v>65</v>
      </c>
      <c r="L56" t="s">
        <v>6</v>
      </c>
      <c r="M56" t="str" cm="1">
        <f t="array" ref="M56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6" cm="1">
        <f t="array" ref="N5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3.4</v>
      </c>
      <c r="O56">
        <v>3.1</v>
      </c>
      <c r="P56">
        <f>IF(Fact_Betting_Table[[#This Row],[B365 Closing Line]]="", "", Fact_Betting_Table[[#This Row],[Bet Line]]/Fact_Betting_Table[[#This Row],[B365 Closing Line]]-1)</f>
        <v>9.6774193548387011E-2</v>
      </c>
      <c r="Q56" cm="1">
        <f t="array" ref="Q56">_xlfn.IFS(Fact_Betting_Table[[#This Row],[prediction]]=Fact_Betting_Table[[#This Row],[home_team]], 1, Fact_Betting_Table[[#This Row],[prediction]]=Fact_Betting_Table[[#This Row],[away_team]], 0)</f>
        <v>1</v>
      </c>
      <c r="R56">
        <v>0</v>
      </c>
      <c r="S56" t="str" cm="1">
        <f t="array" ref="S56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56" s="3">
        <f>IF(Fact_Betting_Table[[#This Row],[Result HomeAway]]="", "", IF(Fact_Betting_Table[[#This Row],[Result HomeAway]]=Fact_Betting_Table[[#This Row],[Prediction HomeAway]],1,0))</f>
        <v>0</v>
      </c>
    </row>
    <row r="57" spans="1:20" x14ac:dyDescent="0.25">
      <c r="A57" s="2">
        <v>46187.232638888891</v>
      </c>
      <c r="B57">
        <v>129991504</v>
      </c>
      <c r="C57" t="s">
        <v>18</v>
      </c>
      <c r="D57" t="s">
        <v>4</v>
      </c>
      <c r="E57">
        <v>0.52611693739891052</v>
      </c>
      <c r="F57">
        <v>0.47388306260108948</v>
      </c>
      <c r="G57" t="s">
        <v>18</v>
      </c>
      <c r="H57" s="2">
        <v>46186.815972222219</v>
      </c>
      <c r="I57">
        <v>2.25</v>
      </c>
      <c r="J57">
        <v>1.65</v>
      </c>
      <c r="K57" t="s">
        <v>71</v>
      </c>
      <c r="L57" t="s">
        <v>18</v>
      </c>
      <c r="M57" t="str" cm="1">
        <f t="array" ref="M57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57" cm="1">
        <f t="array" ref="N5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2.25</v>
      </c>
      <c r="O57">
        <v>2.15</v>
      </c>
      <c r="P57">
        <f>IF(Fact_Betting_Table[[#This Row],[B365 Closing Line]]="", "", Fact_Betting_Table[[#This Row],[Bet Line]]/Fact_Betting_Table[[#This Row],[B365 Closing Line]]-1)</f>
        <v>4.6511627906976827E-2</v>
      </c>
      <c r="Q57" cm="1">
        <f t="array" ref="Q57">_xlfn.IFS(Fact_Betting_Table[[#This Row],[prediction]]=Fact_Betting_Table[[#This Row],[home_team]], 1, Fact_Betting_Table[[#This Row],[prediction]]=Fact_Betting_Table[[#This Row],[away_team]], 0)</f>
        <v>1</v>
      </c>
      <c r="R57">
        <v>1</v>
      </c>
      <c r="S57" t="str" cm="1">
        <f t="array" ref="S57">_xlfn.IFS(Fact_Betting_Table[[#This Row],[Result HomeAway]]=1,Fact_Betting_Table[[#This Row],[home_team]],Fact_Betting_Table[[#This Row],[Result HomeAway]]="","",Fact_Betting_Table[[#This Row],[Result HomeAway]]=0,Fact_Betting_Table[[#This Row],[away_team]])</f>
        <v>Eels</v>
      </c>
      <c r="T57" s="3">
        <f>IF(Fact_Betting_Table[[#This Row],[Result HomeAway]]="", "", IF(Fact_Betting_Table[[#This Row],[Result HomeAway]]=Fact_Betting_Table[[#This Row],[Prediction HomeAway]],1,0))</f>
        <v>1</v>
      </c>
    </row>
    <row r="58" spans="1:20" x14ac:dyDescent="0.25">
      <c r="A58" s="2">
        <v>46188.086805555555</v>
      </c>
      <c r="B58">
        <v>129991505</v>
      </c>
      <c r="C58" t="s">
        <v>5</v>
      </c>
      <c r="D58" t="s">
        <v>22</v>
      </c>
      <c r="E58">
        <v>0.59577968716621399</v>
      </c>
      <c r="F58">
        <v>0.40422031283378601</v>
      </c>
      <c r="G58" t="s">
        <v>5</v>
      </c>
      <c r="H58" s="2">
        <v>46187.670138888891</v>
      </c>
      <c r="I58">
        <v>1.49</v>
      </c>
      <c r="J58">
        <v>2.63</v>
      </c>
      <c r="K58" t="s">
        <v>61</v>
      </c>
      <c r="L58" t="s">
        <v>22</v>
      </c>
      <c r="M58" t="str" cm="1">
        <f t="array" ref="M58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8" cm="1">
        <f t="array" ref="N5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2.63</v>
      </c>
      <c r="O58">
        <v>2.5</v>
      </c>
      <c r="P58">
        <f>IF(Fact_Betting_Table[[#This Row],[B365 Closing Line]]="", "", Fact_Betting_Table[[#This Row],[Bet Line]]/Fact_Betting_Table[[#This Row],[B365 Closing Line]]-1)</f>
        <v>5.2000000000000046E-2</v>
      </c>
      <c r="Q58" cm="1">
        <f t="array" ref="Q58">_xlfn.IFS(Fact_Betting_Table[[#This Row],[prediction]]=Fact_Betting_Table[[#This Row],[home_team]], 1, Fact_Betting_Table[[#This Row],[prediction]]=Fact_Betting_Table[[#This Row],[away_team]], 0)</f>
        <v>1</v>
      </c>
      <c r="R58">
        <v>1</v>
      </c>
      <c r="S58" t="str" cm="1">
        <f t="array" ref="S58">_xlfn.IFS(Fact_Betting_Table[[#This Row],[Result HomeAway]]=1,Fact_Betting_Table[[#This Row],[home_team]],Fact_Betting_Table[[#This Row],[Result HomeAway]]="","",Fact_Betting_Table[[#This Row],[Result HomeAway]]=0,Fact_Betting_Table[[#This Row],[away_team]])</f>
        <v>Tigers</v>
      </c>
      <c r="T58" s="3">
        <f>IF(Fact_Betting_Table[[#This Row],[Result HomeAway]]="", "", IF(Fact_Betting_Table[[#This Row],[Result HomeAway]]=Fact_Betting_Table[[#This Row],[Prediction HomeAway]],1,0))</f>
        <v>1</v>
      </c>
    </row>
    <row r="59" spans="1:20" x14ac:dyDescent="0.25">
      <c r="A59" s="2">
        <v>46193.25</v>
      </c>
      <c r="B59">
        <v>129991601</v>
      </c>
      <c r="C59" t="s">
        <v>17</v>
      </c>
      <c r="D59" t="s">
        <v>11</v>
      </c>
      <c r="E59">
        <v>0.67483717203140259</v>
      </c>
      <c r="F59">
        <v>0.32516282796859741</v>
      </c>
      <c r="G59" t="s">
        <v>17</v>
      </c>
      <c r="H59" s="2">
        <v>46192.833333333336</v>
      </c>
      <c r="I59">
        <v>1.25</v>
      </c>
      <c r="J59">
        <v>4</v>
      </c>
      <c r="K59" t="s">
        <v>61</v>
      </c>
      <c r="L59" t="s">
        <v>11</v>
      </c>
      <c r="M59" t="str" cm="1">
        <f t="array" ref="M59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59" cm="1">
        <f t="array" ref="N5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</v>
      </c>
      <c r="O59">
        <v>3.7</v>
      </c>
      <c r="P59">
        <f>IF(Fact_Betting_Table[[#This Row],[B365 Closing Line]]="", "", Fact_Betting_Table[[#This Row],[Bet Line]]/Fact_Betting_Table[[#This Row],[B365 Closing Line]]-1)</f>
        <v>8.1081081081080919E-2</v>
      </c>
      <c r="Q59" cm="1">
        <f t="array" ref="Q59">_xlfn.IFS(Fact_Betting_Table[[#This Row],[prediction]]=Fact_Betting_Table[[#This Row],[home_team]], 1, Fact_Betting_Table[[#This Row],[prediction]]=Fact_Betting_Table[[#This Row],[away_team]], 0)</f>
        <v>1</v>
      </c>
      <c r="R59">
        <v>1</v>
      </c>
      <c r="S59" t="str" cm="1">
        <f t="array" ref="S59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59" s="3">
        <f>IF(Fact_Betting_Table[[#This Row],[Result HomeAway]]="", "", IF(Fact_Betting_Table[[#This Row],[Result HomeAway]]=Fact_Betting_Table[[#This Row],[Prediction HomeAway]],1,0))</f>
        <v>1</v>
      </c>
    </row>
    <row r="60" spans="1:20" x14ac:dyDescent="0.25">
      <c r="A60" s="2">
        <v>46194.041666666664</v>
      </c>
      <c r="B60">
        <v>129991602</v>
      </c>
      <c r="C60" t="s">
        <v>5</v>
      </c>
      <c r="D60" t="s">
        <v>12</v>
      </c>
      <c r="E60">
        <v>0.41398513317108154</v>
      </c>
      <c r="F60">
        <v>0.58601486682891846</v>
      </c>
      <c r="G60" t="s">
        <v>12</v>
      </c>
      <c r="H60" s="2">
        <v>46193.625</v>
      </c>
      <c r="I60">
        <v>3</v>
      </c>
      <c r="J60">
        <v>1.39</v>
      </c>
      <c r="K60" t="s">
        <v>66</v>
      </c>
      <c r="L60" t="s">
        <v>5</v>
      </c>
      <c r="M60" t="str" cm="1">
        <f t="array" ref="M60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60" cm="1">
        <f t="array" ref="N6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</v>
      </c>
      <c r="O60">
        <v>2.5499999999999998</v>
      </c>
      <c r="P60">
        <f>IF(Fact_Betting_Table[[#This Row],[B365 Closing Line]]="", "", Fact_Betting_Table[[#This Row],[Bet Line]]/Fact_Betting_Table[[#This Row],[B365 Closing Line]]-1)</f>
        <v>0.17647058823529416</v>
      </c>
      <c r="Q60" cm="1">
        <f t="array" ref="Q60">_xlfn.IFS(Fact_Betting_Table[[#This Row],[prediction]]=Fact_Betting_Table[[#This Row],[home_team]], 1, Fact_Betting_Table[[#This Row],[prediction]]=Fact_Betting_Table[[#This Row],[away_team]], 0)</f>
        <v>0</v>
      </c>
      <c r="R60">
        <v>0</v>
      </c>
      <c r="S60" t="str" cm="1">
        <f t="array" ref="S60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60" s="3">
        <f>IF(Fact_Betting_Table[[#This Row],[Result HomeAway]]="", "", IF(Fact_Betting_Table[[#This Row],[Result HomeAway]]=Fact_Betting_Table[[#This Row],[Prediction HomeAway]],1,0))</f>
        <v>1</v>
      </c>
    </row>
    <row r="61" spans="1:20" x14ac:dyDescent="0.25">
      <c r="A61" s="2">
        <v>46194.145833333336</v>
      </c>
      <c r="B61">
        <v>129991603</v>
      </c>
      <c r="C61" t="s">
        <v>22</v>
      </c>
      <c r="D61" t="s">
        <v>16</v>
      </c>
      <c r="E61">
        <v>0.40118533372879028</v>
      </c>
      <c r="F61">
        <v>0.59881466627120972</v>
      </c>
      <c r="G61" t="s">
        <v>16</v>
      </c>
      <c r="H61" s="2">
        <v>46193.729166666664</v>
      </c>
      <c r="I61">
        <v>4.3</v>
      </c>
      <c r="J61">
        <v>1.23</v>
      </c>
      <c r="K61" t="s">
        <v>61</v>
      </c>
      <c r="L61" t="s">
        <v>22</v>
      </c>
      <c r="M61" t="str" cm="1">
        <f t="array" ref="M6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61" cm="1">
        <f t="array" ref="N6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4.3</v>
      </c>
      <c r="O61">
        <v>4</v>
      </c>
      <c r="P61">
        <f>IF(Fact_Betting_Table[[#This Row],[B365 Closing Line]]="", "", Fact_Betting_Table[[#This Row],[Bet Line]]/Fact_Betting_Table[[#This Row],[B365 Closing Line]]-1)</f>
        <v>7.4999999999999956E-2</v>
      </c>
      <c r="Q61" cm="1">
        <f t="array" ref="Q61">_xlfn.IFS(Fact_Betting_Table[[#This Row],[prediction]]=Fact_Betting_Table[[#This Row],[home_team]], 1, Fact_Betting_Table[[#This Row],[prediction]]=Fact_Betting_Table[[#This Row],[away_team]], 0)</f>
        <v>0</v>
      </c>
      <c r="R61">
        <v>1</v>
      </c>
      <c r="S61" t="str" cm="1">
        <f t="array" ref="S61">_xlfn.IFS(Fact_Betting_Table[[#This Row],[Result HomeAway]]=1,Fact_Betting_Table[[#This Row],[home_team]],Fact_Betting_Table[[#This Row],[Result HomeAway]]="","",Fact_Betting_Table[[#This Row],[Result HomeAway]]=0,Fact_Betting_Table[[#This Row],[away_team]])</f>
        <v>Titans</v>
      </c>
      <c r="T61" s="3">
        <f>IF(Fact_Betting_Table[[#This Row],[Result HomeAway]]="", "", IF(Fact_Betting_Table[[#This Row],[Result HomeAway]]=Fact_Betting_Table[[#This Row],[Prediction HomeAway]],1,0))</f>
        <v>0</v>
      </c>
    </row>
    <row r="62" spans="1:20" x14ac:dyDescent="0.25">
      <c r="A62" s="2">
        <v>46194.232638888891</v>
      </c>
      <c r="B62">
        <v>129991604</v>
      </c>
      <c r="C62" t="s">
        <v>8</v>
      </c>
      <c r="D62" t="s">
        <v>19</v>
      </c>
      <c r="E62">
        <v>0.46303683519363398</v>
      </c>
      <c r="F62">
        <v>0.53696316480636597</v>
      </c>
      <c r="G62" t="s">
        <v>19</v>
      </c>
      <c r="H62" s="2">
        <v>46193.815972222219</v>
      </c>
      <c r="I62">
        <v>3.1</v>
      </c>
      <c r="J62">
        <v>1.36</v>
      </c>
      <c r="K62" t="s">
        <v>70</v>
      </c>
      <c r="L62" t="s">
        <v>8</v>
      </c>
      <c r="M62" t="str" cm="1">
        <f t="array" ref="M62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62" cm="1">
        <f t="array" ref="N6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3.1</v>
      </c>
      <c r="O62">
        <v>3.1</v>
      </c>
      <c r="P62">
        <f>IF(Fact_Betting_Table[[#This Row],[B365 Closing Line]]="", "", Fact_Betting_Table[[#This Row],[Bet Line]]/Fact_Betting_Table[[#This Row],[B365 Closing Line]]-1)</f>
        <v>0</v>
      </c>
      <c r="Q62" cm="1">
        <f t="array" ref="Q62">_xlfn.IFS(Fact_Betting_Table[[#This Row],[prediction]]=Fact_Betting_Table[[#This Row],[home_team]], 1, Fact_Betting_Table[[#This Row],[prediction]]=Fact_Betting_Table[[#This Row],[away_team]], 0)</f>
        <v>0</v>
      </c>
      <c r="R62">
        <v>1</v>
      </c>
      <c r="S62" t="str" cm="1">
        <f t="array" ref="S62">_xlfn.IFS(Fact_Betting_Table[[#This Row],[Result HomeAway]]=1,Fact_Betting_Table[[#This Row],[home_team]],Fact_Betting_Table[[#This Row],[Result HomeAway]]="","",Fact_Betting_Table[[#This Row],[Result HomeAway]]=0,Fact_Betting_Table[[#This Row],[away_team]])</f>
        <v>Bulldogs</v>
      </c>
      <c r="T62" s="3">
        <f>IF(Fact_Betting_Table[[#This Row],[Result HomeAway]]="", "", IF(Fact_Betting_Table[[#This Row],[Result HomeAway]]=Fact_Betting_Table[[#This Row],[Prediction HomeAway]],1,0))</f>
        <v>0</v>
      </c>
    </row>
    <row r="63" spans="1:20" x14ac:dyDescent="0.25">
      <c r="A63" s="2">
        <v>46195.083333333336</v>
      </c>
      <c r="B63">
        <v>129991605</v>
      </c>
      <c r="C63" t="s">
        <v>13</v>
      </c>
      <c r="D63" t="s">
        <v>7</v>
      </c>
      <c r="E63">
        <v>0.68182942271232605</v>
      </c>
      <c r="F63">
        <v>0.31817057728767395</v>
      </c>
      <c r="G63" t="s">
        <v>13</v>
      </c>
      <c r="H63" s="2">
        <v>46194.583333333336</v>
      </c>
      <c r="I63">
        <v>1.37</v>
      </c>
      <c r="J63">
        <v>3.45</v>
      </c>
      <c r="K63" t="s">
        <v>64</v>
      </c>
      <c r="L63" t="s">
        <v>7</v>
      </c>
      <c r="M63" t="str" cm="1">
        <f t="array" ref="M63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63" cm="1">
        <f t="array" ref="N6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3.45</v>
      </c>
      <c r="O63">
        <v>2.85</v>
      </c>
      <c r="P63">
        <f>IF(Fact_Betting_Table[[#This Row],[B365 Closing Line]]="", "", Fact_Betting_Table[[#This Row],[Bet Line]]/Fact_Betting_Table[[#This Row],[B365 Closing Line]]-1)</f>
        <v>0.21052631578947367</v>
      </c>
      <c r="Q63" cm="1">
        <f t="array" ref="Q63">_xlfn.IFS(Fact_Betting_Table[[#This Row],[prediction]]=Fact_Betting_Table[[#This Row],[home_team]], 1, Fact_Betting_Table[[#This Row],[prediction]]=Fact_Betting_Table[[#This Row],[away_team]], 0)</f>
        <v>1</v>
      </c>
      <c r="R63">
        <v>1</v>
      </c>
      <c r="S63" t="str" cm="1">
        <f t="array" ref="S63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63" s="3">
        <f>IF(Fact_Betting_Table[[#This Row],[Result HomeAway]]="", "", IF(Fact_Betting_Table[[#This Row],[Result HomeAway]]=Fact_Betting_Table[[#This Row],[Prediction HomeAway]],1,0))</f>
        <v>1</v>
      </c>
    </row>
    <row r="64" spans="1:20" x14ac:dyDescent="0.25">
      <c r="A64" s="2">
        <v>46195.086805555555</v>
      </c>
      <c r="B64">
        <v>129991606</v>
      </c>
      <c r="C64" t="s">
        <v>15</v>
      </c>
      <c r="D64" t="s">
        <v>4</v>
      </c>
      <c r="E64">
        <v>0.65282973647117615</v>
      </c>
      <c r="F64">
        <v>0.34717026352882385</v>
      </c>
      <c r="G64" t="s">
        <v>15</v>
      </c>
      <c r="H64" s="2">
        <v>46194.670138888891</v>
      </c>
      <c r="I64">
        <v>1.4</v>
      </c>
      <c r="J64">
        <v>3.25</v>
      </c>
      <c r="K64" t="s">
        <v>64</v>
      </c>
      <c r="L64" t="s">
        <v>4</v>
      </c>
      <c r="M64" t="str" cm="1">
        <f t="array" ref="M64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64" cm="1">
        <f t="array" ref="N6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3.25</v>
      </c>
      <c r="O64">
        <v>3.1</v>
      </c>
      <c r="P64">
        <f>IF(Fact_Betting_Table[[#This Row],[B365 Closing Line]]="", "", Fact_Betting_Table[[#This Row],[Bet Line]]/Fact_Betting_Table[[#This Row],[B365 Closing Line]]-1)</f>
        <v>4.8387096774193505E-2</v>
      </c>
      <c r="Q64" cm="1">
        <f t="array" ref="Q64">_xlfn.IFS(Fact_Betting_Table[[#This Row],[prediction]]=Fact_Betting_Table[[#This Row],[home_team]], 1, Fact_Betting_Table[[#This Row],[prediction]]=Fact_Betting_Table[[#This Row],[away_team]], 0)</f>
        <v>1</v>
      </c>
      <c r="R64">
        <v>1</v>
      </c>
      <c r="S64" t="str" cm="1">
        <f t="array" ref="S64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64" s="3">
        <f>IF(Fact_Betting_Table[[#This Row],[Result HomeAway]]="", "", IF(Fact_Betting_Table[[#This Row],[Result HomeAway]]=Fact_Betting_Table[[#This Row],[Prediction HomeAway]],1,0))</f>
        <v>1</v>
      </c>
    </row>
    <row r="65" spans="1:20" x14ac:dyDescent="0.25">
      <c r="A65" s="2">
        <v>46195.177083333336</v>
      </c>
      <c r="B65">
        <v>129991607</v>
      </c>
      <c r="C65" t="s">
        <v>10</v>
      </c>
      <c r="D65" t="s">
        <v>6</v>
      </c>
      <c r="E65">
        <v>0.60503038763999939</v>
      </c>
      <c r="F65">
        <v>0.39496961236000061</v>
      </c>
      <c r="G65" t="s">
        <v>10</v>
      </c>
      <c r="H65" s="2">
        <v>46194.760416666664</v>
      </c>
      <c r="I65">
        <v>1.54</v>
      </c>
      <c r="J65">
        <v>2.66</v>
      </c>
      <c r="K65" t="s">
        <v>64</v>
      </c>
      <c r="L65" t="s">
        <v>6</v>
      </c>
      <c r="M65" t="str" cm="1">
        <f t="array" ref="M6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65" cm="1">
        <f t="array" ref="N6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2.66</v>
      </c>
      <c r="O65">
        <v>2.2999999999999998</v>
      </c>
      <c r="P65">
        <f>IF(Fact_Betting_Table[[#This Row],[B365 Closing Line]]="", "", Fact_Betting_Table[[#This Row],[Bet Line]]/Fact_Betting_Table[[#This Row],[B365 Closing Line]]-1)</f>
        <v>0.15652173913043499</v>
      </c>
      <c r="Q65" cm="1">
        <f t="array" ref="Q65">_xlfn.IFS(Fact_Betting_Table[[#This Row],[prediction]]=Fact_Betting_Table[[#This Row],[home_team]], 1, Fact_Betting_Table[[#This Row],[prediction]]=Fact_Betting_Table[[#This Row],[away_team]], 0)</f>
        <v>1</v>
      </c>
      <c r="R65">
        <v>1</v>
      </c>
      <c r="S65" t="str" cm="1">
        <f t="array" ref="S65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65" s="3">
        <f>IF(Fact_Betting_Table[[#This Row],[Result HomeAway]]="", "", IF(Fact_Betting_Table[[#This Row],[Result HomeAway]]=Fact_Betting_Table[[#This Row],[Prediction HomeAway]],1,0))</f>
        <v>1</v>
      </c>
    </row>
    <row r="66" spans="1:20" x14ac:dyDescent="0.25">
      <c r="A66" s="2">
        <v>46199.243055555555</v>
      </c>
      <c r="B66">
        <v>129991701</v>
      </c>
      <c r="C66" t="s">
        <v>18</v>
      </c>
      <c r="D66" t="s">
        <v>14</v>
      </c>
      <c r="E66">
        <v>0.52822080254554749</v>
      </c>
      <c r="F66">
        <v>0.47177919745445251</v>
      </c>
      <c r="G66" t="s">
        <v>18</v>
      </c>
      <c r="H66" s="2">
        <v>46198.826388888891</v>
      </c>
      <c r="I66">
        <v>2.5499999999999998</v>
      </c>
      <c r="J66">
        <v>1.5</v>
      </c>
      <c r="K66" t="s">
        <v>67</v>
      </c>
      <c r="L66" t="s">
        <v>18</v>
      </c>
      <c r="M66" t="str" cm="1">
        <f t="array" ref="M66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66" cm="1">
        <f t="array" ref="N6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2.5499999999999998</v>
      </c>
      <c r="O66">
        <v>2.35</v>
      </c>
      <c r="P66">
        <f>IF(Fact_Betting_Table[[#This Row],[B365 Closing Line]]="", "", Fact_Betting_Table[[#This Row],[Bet Line]]/Fact_Betting_Table[[#This Row],[B365 Closing Line]]-1)</f>
        <v>8.5106382978723305E-2</v>
      </c>
      <c r="Q66" cm="1">
        <f t="array" ref="Q66">_xlfn.IFS(Fact_Betting_Table[[#This Row],[prediction]]=Fact_Betting_Table[[#This Row],[home_team]], 1, Fact_Betting_Table[[#This Row],[prediction]]=Fact_Betting_Table[[#This Row],[away_team]], 0)</f>
        <v>1</v>
      </c>
      <c r="R66">
        <v>0</v>
      </c>
      <c r="S66" t="str" cm="1">
        <f t="array" ref="S66">_xlfn.IFS(Fact_Betting_Table[[#This Row],[Result HomeAway]]=1,Fact_Betting_Table[[#This Row],[home_team]],Fact_Betting_Table[[#This Row],[Result HomeAway]]="","",Fact_Betting_Table[[#This Row],[Result HomeAway]]=0,Fact_Betting_Table[[#This Row],[away_team]])</f>
        <v>Rabbitohs</v>
      </c>
      <c r="T66" s="3">
        <f>IF(Fact_Betting_Table[[#This Row],[Result HomeAway]]="", "", IF(Fact_Betting_Table[[#This Row],[Result HomeAway]]=Fact_Betting_Table[[#This Row],[Prediction HomeAway]],1,0))</f>
        <v>0</v>
      </c>
    </row>
    <row r="67" spans="1:20" x14ac:dyDescent="0.25">
      <c r="A67" s="2">
        <v>46200.166666666664</v>
      </c>
      <c r="B67">
        <v>129991702</v>
      </c>
      <c r="C67" t="s">
        <v>22</v>
      </c>
      <c r="D67" t="s">
        <v>8</v>
      </c>
      <c r="E67">
        <v>0.48157763481140137</v>
      </c>
      <c r="F67">
        <v>0.51842236518859863</v>
      </c>
      <c r="G67" t="s">
        <v>8</v>
      </c>
      <c r="H67" s="2">
        <v>46199.75</v>
      </c>
      <c r="I67">
        <v>1.97</v>
      </c>
      <c r="J67">
        <v>1.93</v>
      </c>
      <c r="K67" t="s">
        <v>64</v>
      </c>
      <c r="L67" t="s">
        <v>8</v>
      </c>
      <c r="M67" t="str" cm="1">
        <f t="array" ref="M67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67" cm="1">
        <f t="array" ref="N6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1.93</v>
      </c>
      <c r="O67">
        <v>2</v>
      </c>
      <c r="P67">
        <f>IF(Fact_Betting_Table[[#This Row],[B365 Closing Line]]="", "", Fact_Betting_Table[[#This Row],[Bet Line]]/Fact_Betting_Table[[#This Row],[B365 Closing Line]]-1)</f>
        <v>-3.5000000000000031E-2</v>
      </c>
      <c r="Q67" cm="1">
        <f t="array" ref="Q67">_xlfn.IFS(Fact_Betting_Table[[#This Row],[prediction]]=Fact_Betting_Table[[#This Row],[home_team]], 1, Fact_Betting_Table[[#This Row],[prediction]]=Fact_Betting_Table[[#This Row],[away_team]], 0)</f>
        <v>0</v>
      </c>
      <c r="R67">
        <v>0</v>
      </c>
      <c r="S67" t="str" cm="1">
        <f t="array" ref="S67">_xlfn.IFS(Fact_Betting_Table[[#This Row],[Result HomeAway]]=1,Fact_Betting_Table[[#This Row],[home_team]],Fact_Betting_Table[[#This Row],[Result HomeAway]]="","",Fact_Betting_Table[[#This Row],[Result HomeAway]]=0,Fact_Betting_Table[[#This Row],[away_team]])</f>
        <v>Bulldogs</v>
      </c>
      <c r="T67" s="3">
        <f>IF(Fact_Betting_Table[[#This Row],[Result HomeAway]]="", "", IF(Fact_Betting_Table[[#This Row],[Result HomeAway]]=Fact_Betting_Table[[#This Row],[Prediction HomeAway]],1,0))</f>
        <v>1</v>
      </c>
    </row>
    <row r="68" spans="1:20" x14ac:dyDescent="0.25">
      <c r="A68" s="2">
        <v>46200.25</v>
      </c>
      <c r="B68">
        <v>129991703</v>
      </c>
      <c r="C68" t="s">
        <v>9</v>
      </c>
      <c r="D68" t="s">
        <v>10</v>
      </c>
      <c r="E68">
        <v>0.47297066450119019</v>
      </c>
      <c r="F68">
        <v>0.52702933549880981</v>
      </c>
      <c r="G68" t="s">
        <v>10</v>
      </c>
      <c r="H68" s="2">
        <v>46199.833333333336</v>
      </c>
      <c r="I68">
        <v>2.7</v>
      </c>
      <c r="J68">
        <v>1.47</v>
      </c>
      <c r="K68" t="s">
        <v>62</v>
      </c>
      <c r="L68" t="s">
        <v>9</v>
      </c>
      <c r="M68" t="str" cm="1">
        <f t="array" ref="M68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68" cm="1">
        <f t="array" ref="N6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2.7</v>
      </c>
      <c r="O68">
        <v>2.9</v>
      </c>
      <c r="P68">
        <f>IF(Fact_Betting_Table[[#This Row],[B365 Closing Line]]="", "", Fact_Betting_Table[[#This Row],[Bet Line]]/Fact_Betting_Table[[#This Row],[B365 Closing Line]]-1)</f>
        <v>-6.8965517241379226E-2</v>
      </c>
      <c r="Q68" cm="1">
        <f t="array" ref="Q68">_xlfn.IFS(Fact_Betting_Table[[#This Row],[prediction]]=Fact_Betting_Table[[#This Row],[home_team]], 1, Fact_Betting_Table[[#This Row],[prediction]]=Fact_Betting_Table[[#This Row],[away_team]], 0)</f>
        <v>0</v>
      </c>
      <c r="R68">
        <v>0</v>
      </c>
      <c r="S68" t="str" cm="1">
        <f t="array" ref="S68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68" s="3">
        <f>IF(Fact_Betting_Table[[#This Row],[Result HomeAway]]="", "", IF(Fact_Betting_Table[[#This Row],[Result HomeAway]]=Fact_Betting_Table[[#This Row],[Prediction HomeAway]],1,0))</f>
        <v>1</v>
      </c>
    </row>
    <row r="69" spans="1:20" x14ac:dyDescent="0.25">
      <c r="A69" s="2">
        <v>46201.041666666664</v>
      </c>
      <c r="B69">
        <v>129991704</v>
      </c>
      <c r="C69" t="s">
        <v>12</v>
      </c>
      <c r="D69" t="s">
        <v>13</v>
      </c>
      <c r="E69">
        <v>0.55373856425285339</v>
      </c>
      <c r="F69">
        <v>0.44626143574714661</v>
      </c>
      <c r="G69" t="s">
        <v>12</v>
      </c>
      <c r="H69" s="2">
        <v>46200.625</v>
      </c>
      <c r="I69">
        <v>1.43</v>
      </c>
      <c r="J69">
        <v>2.85</v>
      </c>
      <c r="K69" t="s">
        <v>62</v>
      </c>
      <c r="L69" t="s">
        <v>13</v>
      </c>
      <c r="M69" t="str" cm="1">
        <f t="array" ref="M69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69" cm="1">
        <f t="array" ref="N6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2.85</v>
      </c>
      <c r="O69">
        <v>2.9</v>
      </c>
      <c r="P69">
        <f>IF(Fact_Betting_Table[[#This Row],[B365 Closing Line]]="", "", Fact_Betting_Table[[#This Row],[Bet Line]]/Fact_Betting_Table[[#This Row],[B365 Closing Line]]-1)</f>
        <v>-1.7241379310344751E-2</v>
      </c>
      <c r="Q69" cm="1">
        <f t="array" ref="Q69">_xlfn.IFS(Fact_Betting_Table[[#This Row],[prediction]]=Fact_Betting_Table[[#This Row],[home_team]], 1, Fact_Betting_Table[[#This Row],[prediction]]=Fact_Betting_Table[[#This Row],[away_team]], 0)</f>
        <v>1</v>
      </c>
      <c r="R69">
        <v>1</v>
      </c>
      <c r="S69" t="str" cm="1">
        <f t="array" ref="S69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69" s="3">
        <f>IF(Fact_Betting_Table[[#This Row],[Result HomeAway]]="", "", IF(Fact_Betting_Table[[#This Row],[Result HomeAway]]=Fact_Betting_Table[[#This Row],[Prediction HomeAway]],1,0))</f>
        <v>1</v>
      </c>
    </row>
    <row r="70" spans="1:20" x14ac:dyDescent="0.25">
      <c r="A70" s="2">
        <v>46201.145833333336</v>
      </c>
      <c r="B70">
        <v>129991705</v>
      </c>
      <c r="C70" t="s">
        <v>7</v>
      </c>
      <c r="D70" t="s">
        <v>16</v>
      </c>
      <c r="E70">
        <v>0.42577558755874634</v>
      </c>
      <c r="F70">
        <v>0.57422441244125366</v>
      </c>
      <c r="G70" t="s">
        <v>16</v>
      </c>
      <c r="H70" s="2">
        <v>46200.729166666664</v>
      </c>
      <c r="I70">
        <v>4.3499999999999996</v>
      </c>
      <c r="J70">
        <v>1.22</v>
      </c>
      <c r="K70" t="s">
        <v>61</v>
      </c>
      <c r="L70" t="s">
        <v>7</v>
      </c>
      <c r="M70" t="str" cm="1">
        <f t="array" ref="M70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70" cm="1">
        <f t="array" ref="N7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4.3499999999999996</v>
      </c>
      <c r="O70">
        <v>3.5</v>
      </c>
      <c r="P70">
        <f>IF(Fact_Betting_Table[[#This Row],[B365 Closing Line]]="", "", Fact_Betting_Table[[#This Row],[Bet Line]]/Fact_Betting_Table[[#This Row],[B365 Closing Line]]-1)</f>
        <v>0.24285714285714266</v>
      </c>
      <c r="Q70" cm="1">
        <f t="array" ref="Q70">_xlfn.IFS(Fact_Betting_Table[[#This Row],[prediction]]=Fact_Betting_Table[[#This Row],[home_team]], 1, Fact_Betting_Table[[#This Row],[prediction]]=Fact_Betting_Table[[#This Row],[away_team]], 0)</f>
        <v>0</v>
      </c>
      <c r="R70">
        <v>1</v>
      </c>
      <c r="S70" t="str" cm="1">
        <f t="array" ref="S70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70" s="3">
        <f>IF(Fact_Betting_Table[[#This Row],[Result HomeAway]]="", "", IF(Fact_Betting_Table[[#This Row],[Result HomeAway]]=Fact_Betting_Table[[#This Row],[Prediction HomeAway]],1,0))</f>
        <v>0</v>
      </c>
    </row>
    <row r="71" spans="1:20" x14ac:dyDescent="0.25">
      <c r="A71" s="2">
        <v>46201.229166666664</v>
      </c>
      <c r="B71">
        <v>129991706</v>
      </c>
      <c r="C71" t="s">
        <v>19</v>
      </c>
      <c r="D71" t="s">
        <v>15</v>
      </c>
      <c r="E71">
        <v>0.59705853462219238</v>
      </c>
      <c r="F71">
        <v>0.40294146537780762</v>
      </c>
      <c r="G71" t="s">
        <v>19</v>
      </c>
      <c r="H71" s="2">
        <v>46200.815972222219</v>
      </c>
      <c r="I71">
        <v>1.47</v>
      </c>
      <c r="J71">
        <v>2.7</v>
      </c>
      <c r="K71" t="s">
        <v>72</v>
      </c>
      <c r="L71" t="s">
        <v>15</v>
      </c>
      <c r="M71" t="str" cm="1">
        <f t="array" ref="M71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1" cm="1">
        <f t="array" ref="N7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2.7</v>
      </c>
      <c r="O71">
        <v>2.5499999999999998</v>
      </c>
      <c r="P71">
        <f>IF(Fact_Betting_Table[[#This Row],[B365 Closing Line]]="", "", Fact_Betting_Table[[#This Row],[Bet Line]]/Fact_Betting_Table[[#This Row],[B365 Closing Line]]-1)</f>
        <v>5.8823529411764941E-2</v>
      </c>
      <c r="Q71" cm="1">
        <f t="array" ref="Q71">_xlfn.IFS(Fact_Betting_Table[[#This Row],[prediction]]=Fact_Betting_Table[[#This Row],[home_team]], 1, Fact_Betting_Table[[#This Row],[prediction]]=Fact_Betting_Table[[#This Row],[away_team]], 0)</f>
        <v>1</v>
      </c>
      <c r="R71">
        <v>1</v>
      </c>
      <c r="S71" t="str" cm="1">
        <f t="array" ref="S71">_xlfn.IFS(Fact_Betting_Table[[#This Row],[Result HomeAway]]=1,Fact_Betting_Table[[#This Row],[home_team]],Fact_Betting_Table[[#This Row],[Result HomeAway]]="","",Fact_Betting_Table[[#This Row],[Result HomeAway]]=0,Fact_Betting_Table[[#This Row],[away_team]])</f>
        <v>Eagles</v>
      </c>
      <c r="T71" s="3">
        <f>IF(Fact_Betting_Table[[#This Row],[Result HomeAway]]="", "", IF(Fact_Betting_Table[[#This Row],[Result HomeAway]]=Fact_Betting_Table[[#This Row],[Prediction HomeAway]],1,0))</f>
        <v>1</v>
      </c>
    </row>
    <row r="72" spans="1:20" x14ac:dyDescent="0.25">
      <c r="A72" s="2">
        <v>46202</v>
      </c>
      <c r="B72">
        <v>129991707</v>
      </c>
      <c r="C72" t="s">
        <v>4</v>
      </c>
      <c r="D72" t="s">
        <v>11</v>
      </c>
      <c r="E72">
        <v>0.66450875997543335</v>
      </c>
      <c r="F72">
        <v>0.33549124002456665</v>
      </c>
      <c r="G72" t="s">
        <v>4</v>
      </c>
      <c r="H72" s="2">
        <v>46201.583333333336</v>
      </c>
      <c r="I72">
        <v>1.33</v>
      </c>
      <c r="J72">
        <v>3.35</v>
      </c>
      <c r="K72" t="s">
        <v>72</v>
      </c>
      <c r="L72" t="s">
        <v>11</v>
      </c>
      <c r="M72" t="str" cm="1">
        <f t="array" ref="M72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2" cm="1">
        <f t="array" ref="N7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3.35</v>
      </c>
      <c r="O72">
        <v>3.7</v>
      </c>
      <c r="P72">
        <f>IF(Fact_Betting_Table[[#This Row],[B365 Closing Line]]="", "", Fact_Betting_Table[[#This Row],[Bet Line]]/Fact_Betting_Table[[#This Row],[B365 Closing Line]]-1)</f>
        <v>-9.4594594594594628E-2</v>
      </c>
      <c r="Q72" cm="1">
        <f t="array" ref="Q72">_xlfn.IFS(Fact_Betting_Table[[#This Row],[prediction]]=Fact_Betting_Table[[#This Row],[home_team]], 1, Fact_Betting_Table[[#This Row],[prediction]]=Fact_Betting_Table[[#This Row],[away_team]], 0)</f>
        <v>1</v>
      </c>
      <c r="R72">
        <v>1</v>
      </c>
      <c r="S72" t="str" cm="1">
        <f t="array" ref="S72">_xlfn.IFS(Fact_Betting_Table[[#This Row],[Result HomeAway]]=1,Fact_Betting_Table[[#This Row],[home_team]],Fact_Betting_Table[[#This Row],[Result HomeAway]]="","",Fact_Betting_Table[[#This Row],[Result HomeAway]]=0,Fact_Betting_Table[[#This Row],[away_team]])</f>
        <v>Raiders</v>
      </c>
      <c r="T72" s="3">
        <f>IF(Fact_Betting_Table[[#This Row],[Result HomeAway]]="", "", IF(Fact_Betting_Table[[#This Row],[Result HomeAway]]=Fact_Betting_Table[[#This Row],[Prediction HomeAway]],1,0))</f>
        <v>1</v>
      </c>
    </row>
    <row r="73" spans="1:20" x14ac:dyDescent="0.25">
      <c r="A73" s="2">
        <v>46202.086805555555</v>
      </c>
      <c r="B73">
        <v>129991708</v>
      </c>
      <c r="C73" t="s">
        <v>17</v>
      </c>
      <c r="D73" t="s">
        <v>5</v>
      </c>
      <c r="E73">
        <v>0.67632308602333069</v>
      </c>
      <c r="F73">
        <v>0.32367691397666931</v>
      </c>
      <c r="G73" t="s">
        <v>17</v>
      </c>
      <c r="H73" s="2">
        <v>46201.670138888891</v>
      </c>
      <c r="I73">
        <v>1.53</v>
      </c>
      <c r="J73">
        <v>2.68</v>
      </c>
      <c r="K73" t="s">
        <v>64</v>
      </c>
      <c r="L73" t="s">
        <v>17</v>
      </c>
      <c r="M73" t="str" cm="1">
        <f t="array" ref="M73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73" cm="1">
        <f t="array" ref="N7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1.53</v>
      </c>
      <c r="O73">
        <v>1.32</v>
      </c>
      <c r="P73">
        <f>IF(Fact_Betting_Table[[#This Row],[B365 Closing Line]]="", "", Fact_Betting_Table[[#This Row],[Bet Line]]/Fact_Betting_Table[[#This Row],[B365 Closing Line]]-1)</f>
        <v>0.15909090909090895</v>
      </c>
      <c r="Q73" cm="1">
        <f t="array" ref="Q73">_xlfn.IFS(Fact_Betting_Table[[#This Row],[prediction]]=Fact_Betting_Table[[#This Row],[home_team]], 1, Fact_Betting_Table[[#This Row],[prediction]]=Fact_Betting_Table[[#This Row],[away_team]], 0)</f>
        <v>1</v>
      </c>
      <c r="R73">
        <v>1</v>
      </c>
      <c r="S73" t="str" cm="1">
        <f t="array" ref="S73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73" s="3">
        <f>IF(Fact_Betting_Table[[#This Row],[Result HomeAway]]="", "", IF(Fact_Betting_Table[[#This Row],[Result HomeAway]]=Fact_Betting_Table[[#This Row],[Prediction HomeAway]],1,0))</f>
        <v>1</v>
      </c>
    </row>
    <row r="74" spans="1:20" x14ac:dyDescent="0.25">
      <c r="A74" s="2">
        <v>46207.25</v>
      </c>
      <c r="B74">
        <v>129991801</v>
      </c>
      <c r="C74" t="s">
        <v>16</v>
      </c>
      <c r="D74" t="s">
        <v>14</v>
      </c>
      <c r="E74">
        <v>0.68617856502532959</v>
      </c>
      <c r="F74">
        <v>0.31382143497467041</v>
      </c>
      <c r="G74" t="s">
        <v>16</v>
      </c>
      <c r="H74" s="2">
        <v>46206.833333333336</v>
      </c>
      <c r="I74">
        <v>1.67</v>
      </c>
      <c r="J74">
        <v>2.2000000000000002</v>
      </c>
      <c r="K74" t="s">
        <v>66</v>
      </c>
      <c r="L74" t="s">
        <v>16</v>
      </c>
      <c r="M74" t="str" cm="1">
        <f t="array" ref="M74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74" cm="1">
        <f t="array" ref="N7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1.67</v>
      </c>
      <c r="O74">
        <v>1.55</v>
      </c>
      <c r="P74">
        <f>IF(Fact_Betting_Table[[#This Row],[B365 Closing Line]]="", "", Fact_Betting_Table[[#This Row],[Bet Line]]/Fact_Betting_Table[[#This Row],[B365 Closing Line]]-1)</f>
        <v>7.7419354838709653E-2</v>
      </c>
      <c r="Q74" cm="1">
        <f t="array" ref="Q74">_xlfn.IFS(Fact_Betting_Table[[#This Row],[prediction]]=Fact_Betting_Table[[#This Row],[home_team]], 1, Fact_Betting_Table[[#This Row],[prediction]]=Fact_Betting_Table[[#This Row],[away_team]], 0)</f>
        <v>1</v>
      </c>
      <c r="R74">
        <v>1</v>
      </c>
      <c r="S74" t="str" cm="1">
        <f t="array" ref="S74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74" s="3">
        <f>IF(Fact_Betting_Table[[#This Row],[Result HomeAway]]="", "", IF(Fact_Betting_Table[[#This Row],[Result HomeAway]]=Fact_Betting_Table[[#This Row],[Prediction HomeAway]],1,0))</f>
        <v>1</v>
      </c>
    </row>
    <row r="75" spans="1:20" x14ac:dyDescent="0.25">
      <c r="A75" s="2">
        <v>46208.145833333336</v>
      </c>
      <c r="B75">
        <v>129991802</v>
      </c>
      <c r="C75" t="s">
        <v>11</v>
      </c>
      <c r="D75" t="s">
        <v>5</v>
      </c>
      <c r="E75">
        <v>0.41309702396392822</v>
      </c>
      <c r="F75">
        <v>0.58690297603607178</v>
      </c>
      <c r="G75" t="s">
        <v>5</v>
      </c>
      <c r="H75" s="2">
        <v>46207.729166666664</v>
      </c>
      <c r="I75">
        <v>2.5499999999999998</v>
      </c>
      <c r="J75">
        <v>1.52</v>
      </c>
      <c r="K75" t="s">
        <v>66</v>
      </c>
      <c r="L75" t="s">
        <v>11</v>
      </c>
      <c r="M75" t="str" cm="1">
        <f t="array" ref="M75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75" cm="1">
        <f t="array" ref="N7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2.5499999999999998</v>
      </c>
      <c r="O75">
        <v>2.2999999999999998</v>
      </c>
      <c r="P75">
        <f>IF(Fact_Betting_Table[[#This Row],[B365 Closing Line]]="", "", Fact_Betting_Table[[#This Row],[Bet Line]]/Fact_Betting_Table[[#This Row],[B365 Closing Line]]-1)</f>
        <v>0.10869565217391308</v>
      </c>
      <c r="Q75" cm="1">
        <f t="array" ref="Q75">_xlfn.IFS(Fact_Betting_Table[[#This Row],[prediction]]=Fact_Betting_Table[[#This Row],[home_team]], 1, Fact_Betting_Table[[#This Row],[prediction]]=Fact_Betting_Table[[#This Row],[away_team]], 0)</f>
        <v>0</v>
      </c>
      <c r="R75">
        <v>1</v>
      </c>
      <c r="S75" t="str" cm="1">
        <f t="array" ref="S75">_xlfn.IFS(Fact_Betting_Table[[#This Row],[Result HomeAway]]=1,Fact_Betting_Table[[#This Row],[home_team]],Fact_Betting_Table[[#This Row],[Result HomeAway]]="","",Fact_Betting_Table[[#This Row],[Result HomeAway]]=0,Fact_Betting_Table[[#This Row],[away_team]])</f>
        <v>Dragons</v>
      </c>
      <c r="T75" s="3">
        <f>IF(Fact_Betting_Table[[#This Row],[Result HomeAway]]="", "", IF(Fact_Betting_Table[[#This Row],[Result HomeAway]]=Fact_Betting_Table[[#This Row],[Prediction HomeAway]],1,0))</f>
        <v>0</v>
      </c>
    </row>
    <row r="76" spans="1:20" x14ac:dyDescent="0.25">
      <c r="A76" s="2">
        <v>46208.232638888891</v>
      </c>
      <c r="B76">
        <v>129991803</v>
      </c>
      <c r="C76" t="s">
        <v>9</v>
      </c>
      <c r="D76" t="s">
        <v>6</v>
      </c>
      <c r="E76">
        <v>0.25542253255844116</v>
      </c>
      <c r="F76">
        <v>0.74457746744155884</v>
      </c>
      <c r="G76" t="s">
        <v>6</v>
      </c>
      <c r="H76" s="2">
        <v>46207.815972222219</v>
      </c>
      <c r="I76">
        <v>2.6</v>
      </c>
      <c r="J76">
        <v>1.5</v>
      </c>
      <c r="K76" t="s">
        <v>66</v>
      </c>
      <c r="L76" t="s">
        <v>6</v>
      </c>
      <c r="M76" t="str" cm="1">
        <f t="array" ref="M76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6" cm="1">
        <f t="array" ref="N7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1.5</v>
      </c>
      <c r="O76">
        <v>1.42</v>
      </c>
      <c r="P76">
        <f>IF(Fact_Betting_Table[[#This Row],[B365 Closing Line]]="", "", Fact_Betting_Table[[#This Row],[Bet Line]]/Fact_Betting_Table[[#This Row],[B365 Closing Line]]-1)</f>
        <v>5.6338028169014231E-2</v>
      </c>
      <c r="Q76" cm="1">
        <f t="array" ref="Q76">_xlfn.IFS(Fact_Betting_Table[[#This Row],[prediction]]=Fact_Betting_Table[[#This Row],[home_team]], 1, Fact_Betting_Table[[#This Row],[prediction]]=Fact_Betting_Table[[#This Row],[away_team]], 0)</f>
        <v>0</v>
      </c>
      <c r="R76">
        <v>0</v>
      </c>
      <c r="S76" t="str" cm="1">
        <f t="array" ref="S76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76" s="3">
        <f>IF(Fact_Betting_Table[[#This Row],[Result HomeAway]]="", "", IF(Fact_Betting_Table[[#This Row],[Result HomeAway]]=Fact_Betting_Table[[#This Row],[Prediction HomeAway]],1,0))</f>
        <v>1</v>
      </c>
    </row>
    <row r="77" spans="1:20" x14ac:dyDescent="0.25">
      <c r="A77" s="2">
        <v>46209</v>
      </c>
      <c r="B77">
        <v>129991804</v>
      </c>
      <c r="C77" t="s">
        <v>18</v>
      </c>
      <c r="D77" t="s">
        <v>19</v>
      </c>
      <c r="E77">
        <v>0.28004425764083862</v>
      </c>
      <c r="F77">
        <v>0.71995574235916138</v>
      </c>
      <c r="G77" t="s">
        <v>19</v>
      </c>
      <c r="H77" s="2">
        <v>46208.583333333336</v>
      </c>
      <c r="I77">
        <v>3.3</v>
      </c>
      <c r="J77">
        <v>1.41</v>
      </c>
      <c r="K77" t="s">
        <v>64</v>
      </c>
      <c r="L77" t="s">
        <v>19</v>
      </c>
      <c r="M77" t="str" cm="1">
        <f t="array" ref="M77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7" cm="1">
        <f t="array" ref="N7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1.41</v>
      </c>
      <c r="O77">
        <v>1.3</v>
      </c>
      <c r="P77">
        <f>IF(Fact_Betting_Table[[#This Row],[B365 Closing Line]]="", "", Fact_Betting_Table[[#This Row],[Bet Line]]/Fact_Betting_Table[[#This Row],[B365 Closing Line]]-1)</f>
        <v>8.4615384615384537E-2</v>
      </c>
      <c r="Q77" cm="1">
        <f t="array" ref="Q77">_xlfn.IFS(Fact_Betting_Table[[#This Row],[prediction]]=Fact_Betting_Table[[#This Row],[home_team]], 1, Fact_Betting_Table[[#This Row],[prediction]]=Fact_Betting_Table[[#This Row],[away_team]], 0)</f>
        <v>0</v>
      </c>
      <c r="R77">
        <v>1</v>
      </c>
      <c r="S77" t="str" cm="1">
        <f t="array" ref="S77">_xlfn.IFS(Fact_Betting_Table[[#This Row],[Result HomeAway]]=1,Fact_Betting_Table[[#This Row],[home_team]],Fact_Betting_Table[[#This Row],[Result HomeAway]]="","",Fact_Betting_Table[[#This Row],[Result HomeAway]]=0,Fact_Betting_Table[[#This Row],[away_team]])</f>
        <v>Eels</v>
      </c>
      <c r="T77" s="3">
        <f>IF(Fact_Betting_Table[[#This Row],[Result HomeAway]]="", "", IF(Fact_Betting_Table[[#This Row],[Result HomeAway]]=Fact_Betting_Table[[#This Row],[Prediction HomeAway]],1,0))</f>
        <v>0</v>
      </c>
    </row>
    <row r="78" spans="1:20" x14ac:dyDescent="0.25">
      <c r="A78" s="2">
        <v>46209.086805555555</v>
      </c>
      <c r="B78">
        <v>129991805</v>
      </c>
      <c r="C78" t="s">
        <v>17</v>
      </c>
      <c r="D78" t="s">
        <v>12</v>
      </c>
      <c r="E78">
        <v>0.37190854549407959</v>
      </c>
      <c r="F78">
        <v>0.62809145450592041</v>
      </c>
      <c r="G78" t="s">
        <v>12</v>
      </c>
      <c r="H78" s="2">
        <v>46208.670138888891</v>
      </c>
      <c r="I78">
        <v>1.96</v>
      </c>
      <c r="J78">
        <v>1.87</v>
      </c>
      <c r="K78" t="s">
        <v>61</v>
      </c>
      <c r="L78" t="s">
        <v>12</v>
      </c>
      <c r="M78" t="str" cm="1">
        <f t="array" ref="M78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8" cm="1">
        <f t="array" ref="N7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1.87</v>
      </c>
      <c r="O78">
        <v>1.87</v>
      </c>
      <c r="P78">
        <f>IF(Fact_Betting_Table[[#This Row],[B365 Closing Line]]="", "", Fact_Betting_Table[[#This Row],[Bet Line]]/Fact_Betting_Table[[#This Row],[B365 Closing Line]]-1)</f>
        <v>0</v>
      </c>
      <c r="Q78" cm="1">
        <f t="array" ref="Q78">_xlfn.IFS(Fact_Betting_Table[[#This Row],[prediction]]=Fact_Betting_Table[[#This Row],[home_team]], 1, Fact_Betting_Table[[#This Row],[prediction]]=Fact_Betting_Table[[#This Row],[away_team]], 0)</f>
        <v>0</v>
      </c>
      <c r="R78">
        <v>1</v>
      </c>
      <c r="S78" t="str" cm="1">
        <f t="array" ref="S78">_xlfn.IFS(Fact_Betting_Table[[#This Row],[Result HomeAway]]=1,Fact_Betting_Table[[#This Row],[home_team]],Fact_Betting_Table[[#This Row],[Result HomeAway]]="","",Fact_Betting_Table[[#This Row],[Result HomeAway]]=0,Fact_Betting_Table[[#This Row],[away_team]])</f>
        <v>Knights</v>
      </c>
      <c r="T78" s="3">
        <f>IF(Fact_Betting_Table[[#This Row],[Result HomeAway]]="", "", IF(Fact_Betting_Table[[#This Row],[Result HomeAway]]=Fact_Betting_Table[[#This Row],[Prediction HomeAway]],1,0))</f>
        <v>0</v>
      </c>
    </row>
    <row r="79" spans="1:20" x14ac:dyDescent="0.25">
      <c r="A79" s="2">
        <v>46214.25</v>
      </c>
      <c r="B79">
        <v>129991901</v>
      </c>
      <c r="C79" t="s">
        <v>5</v>
      </c>
      <c r="D79" t="s">
        <v>13</v>
      </c>
      <c r="E79">
        <v>0.25917381048202515</v>
      </c>
      <c r="F79">
        <v>0.74082618951797485</v>
      </c>
      <c r="G79" t="s">
        <v>13</v>
      </c>
      <c r="H79" s="2">
        <v>46213.833333333336</v>
      </c>
      <c r="I79">
        <v>3.3</v>
      </c>
      <c r="J79">
        <v>1.42</v>
      </c>
      <c r="K79" t="s">
        <v>64</v>
      </c>
      <c r="L79" t="s">
        <v>13</v>
      </c>
      <c r="M79" t="str" cm="1">
        <f t="array" ref="M79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79" cm="1">
        <f t="array" ref="N7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1.42</v>
      </c>
      <c r="O79">
        <v>1.37</v>
      </c>
      <c r="P79">
        <f>IF(Fact_Betting_Table[[#This Row],[B365 Closing Line]]="", "", Fact_Betting_Table[[#This Row],[Bet Line]]/Fact_Betting_Table[[#This Row],[B365 Closing Line]]-1)</f>
        <v>3.6496350364963348E-2</v>
      </c>
      <c r="Q79" cm="1">
        <f t="array" ref="Q79">_xlfn.IFS(Fact_Betting_Table[[#This Row],[prediction]]=Fact_Betting_Table[[#This Row],[home_team]], 1, Fact_Betting_Table[[#This Row],[prediction]]=Fact_Betting_Table[[#This Row],[away_team]], 0)</f>
        <v>0</v>
      </c>
      <c r="R79">
        <v>0</v>
      </c>
      <c r="S79" t="str" cm="1">
        <f t="array" ref="S79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79" s="3">
        <f>IF(Fact_Betting_Table[[#This Row],[Result HomeAway]]="", "", IF(Fact_Betting_Table[[#This Row],[Result HomeAway]]=Fact_Betting_Table[[#This Row],[Prediction HomeAway]],1,0))</f>
        <v>1</v>
      </c>
    </row>
    <row r="80" spans="1:20" x14ac:dyDescent="0.25">
      <c r="A80" s="2">
        <v>46215.041666666664</v>
      </c>
      <c r="B80">
        <v>129991902</v>
      </c>
      <c r="C80" t="s">
        <v>12</v>
      </c>
      <c r="D80" t="s">
        <v>6</v>
      </c>
      <c r="E80">
        <v>0.55579107999801636</v>
      </c>
      <c r="F80">
        <v>0.44420892000198364</v>
      </c>
      <c r="G80" t="s">
        <v>12</v>
      </c>
      <c r="H80" s="2">
        <v>46214.625</v>
      </c>
      <c r="I80">
        <v>1.55</v>
      </c>
      <c r="J80">
        <v>2.5</v>
      </c>
      <c r="K80" t="s">
        <v>65</v>
      </c>
      <c r="L80" t="s">
        <v>6</v>
      </c>
      <c r="M80" t="str" cm="1">
        <f t="array" ref="M80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80" cm="1">
        <f t="array" ref="N8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2.5</v>
      </c>
      <c r="O80">
        <v>2.15</v>
      </c>
      <c r="P80">
        <f>IF(Fact_Betting_Table[[#This Row],[B365 Closing Line]]="", "", Fact_Betting_Table[[#This Row],[Bet Line]]/Fact_Betting_Table[[#This Row],[B365 Closing Line]]-1)</f>
        <v>0.16279069767441867</v>
      </c>
      <c r="Q80" cm="1">
        <f t="array" ref="Q80">_xlfn.IFS(Fact_Betting_Table[[#This Row],[prediction]]=Fact_Betting_Table[[#This Row],[home_team]], 1, Fact_Betting_Table[[#This Row],[prediction]]=Fact_Betting_Table[[#This Row],[away_team]], 0)</f>
        <v>1</v>
      </c>
      <c r="R80">
        <v>0</v>
      </c>
      <c r="S80" t="str" cm="1">
        <f t="array" ref="S80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80" s="3">
        <f>IF(Fact_Betting_Table[[#This Row],[Result HomeAway]]="", "", IF(Fact_Betting_Table[[#This Row],[Result HomeAway]]=Fact_Betting_Table[[#This Row],[Prediction HomeAway]],1,0))</f>
        <v>0</v>
      </c>
    </row>
    <row r="81" spans="1:20" x14ac:dyDescent="0.25">
      <c r="A81" s="2">
        <v>46215.145833333336</v>
      </c>
      <c r="B81">
        <v>129991903</v>
      </c>
      <c r="C81" t="s">
        <v>8</v>
      </c>
      <c r="D81" t="s">
        <v>4</v>
      </c>
      <c r="E81">
        <v>0.69911041855812073</v>
      </c>
      <c r="F81">
        <v>0.30088958144187927</v>
      </c>
      <c r="G81" t="s">
        <v>8</v>
      </c>
      <c r="H81" s="2">
        <v>46214.729166666664</v>
      </c>
      <c r="I81">
        <v>1.62</v>
      </c>
      <c r="J81">
        <v>2.2999999999999998</v>
      </c>
      <c r="K81" t="s">
        <v>66</v>
      </c>
      <c r="L81" t="s">
        <v>8</v>
      </c>
      <c r="M81" t="str" cm="1">
        <f t="array" ref="M8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1" cm="1">
        <f t="array" ref="N8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1.62</v>
      </c>
      <c r="O81">
        <v>1.6</v>
      </c>
      <c r="P81">
        <f>IF(Fact_Betting_Table[[#This Row],[B365 Closing Line]]="", "", Fact_Betting_Table[[#This Row],[Bet Line]]/Fact_Betting_Table[[#This Row],[B365 Closing Line]]-1)</f>
        <v>1.2499999999999956E-2</v>
      </c>
      <c r="Q81" cm="1">
        <f t="array" ref="Q81">_xlfn.IFS(Fact_Betting_Table[[#This Row],[prediction]]=Fact_Betting_Table[[#This Row],[home_team]], 1, Fact_Betting_Table[[#This Row],[prediction]]=Fact_Betting_Table[[#This Row],[away_team]], 0)</f>
        <v>1</v>
      </c>
      <c r="R81">
        <v>0</v>
      </c>
      <c r="S81" t="str" cm="1">
        <f t="array" ref="S81">_xlfn.IFS(Fact_Betting_Table[[#This Row],[Result HomeAway]]=1,Fact_Betting_Table[[#This Row],[home_team]],Fact_Betting_Table[[#This Row],[Result HomeAway]]="","",Fact_Betting_Table[[#This Row],[Result HomeAway]]=0,Fact_Betting_Table[[#This Row],[away_team]])</f>
        <v>Raiders</v>
      </c>
      <c r="T81" s="3">
        <f>IF(Fact_Betting_Table[[#This Row],[Result HomeAway]]="", "", IF(Fact_Betting_Table[[#This Row],[Result HomeAway]]=Fact_Betting_Table[[#This Row],[Prediction HomeAway]],1,0))</f>
        <v>0</v>
      </c>
    </row>
    <row r="82" spans="1:20" x14ac:dyDescent="0.25">
      <c r="A82" s="2">
        <v>46215.232638888891</v>
      </c>
      <c r="B82">
        <v>129991904</v>
      </c>
      <c r="C82" t="s">
        <v>10</v>
      </c>
      <c r="D82" t="s">
        <v>18</v>
      </c>
      <c r="E82">
        <v>0.79425004124641418</v>
      </c>
      <c r="F82">
        <v>0.20574995875358582</v>
      </c>
      <c r="G82" t="s">
        <v>10</v>
      </c>
      <c r="H82" s="2">
        <v>46214.815972222219</v>
      </c>
      <c r="I82">
        <v>1.32</v>
      </c>
      <c r="J82">
        <v>3.4</v>
      </c>
      <c r="K82" t="s">
        <v>63</v>
      </c>
      <c r="L82" t="s">
        <v>10</v>
      </c>
      <c r="M82" t="str" cm="1">
        <f t="array" ref="M82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2" cm="1">
        <f t="array" ref="N8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1.32</v>
      </c>
      <c r="O82">
        <v>1.27</v>
      </c>
      <c r="P82">
        <f>IF(Fact_Betting_Table[[#This Row],[B365 Closing Line]]="", "", Fact_Betting_Table[[#This Row],[Bet Line]]/Fact_Betting_Table[[#This Row],[B365 Closing Line]]-1)</f>
        <v>3.937007874015741E-2</v>
      </c>
      <c r="Q82" cm="1">
        <f t="array" ref="Q82">_xlfn.IFS(Fact_Betting_Table[[#This Row],[prediction]]=Fact_Betting_Table[[#This Row],[home_team]], 1, Fact_Betting_Table[[#This Row],[prediction]]=Fact_Betting_Table[[#This Row],[away_team]], 0)</f>
        <v>1</v>
      </c>
      <c r="R82">
        <v>1</v>
      </c>
      <c r="S82" t="str" cm="1">
        <f t="array" ref="S82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82" s="3">
        <f>IF(Fact_Betting_Table[[#This Row],[Result HomeAway]]="", "", IF(Fact_Betting_Table[[#This Row],[Result HomeAway]]=Fact_Betting_Table[[#This Row],[Prediction HomeAway]],1,0))</f>
        <v>1</v>
      </c>
    </row>
    <row r="83" spans="1:20" x14ac:dyDescent="0.25">
      <c r="A83" s="2">
        <v>46216</v>
      </c>
      <c r="B83">
        <v>129991905</v>
      </c>
      <c r="C83" t="s">
        <v>14</v>
      </c>
      <c r="D83" t="s">
        <v>17</v>
      </c>
      <c r="E83">
        <v>0.46959245204925537</v>
      </c>
      <c r="F83">
        <v>0.53040754795074463</v>
      </c>
      <c r="G83" t="s">
        <v>17</v>
      </c>
      <c r="H83" s="2">
        <v>46215.583333333336</v>
      </c>
      <c r="I83">
        <v>1.02</v>
      </c>
      <c r="J83">
        <v>1.92</v>
      </c>
      <c r="K83" t="s">
        <v>64</v>
      </c>
      <c r="L83" t="s">
        <v>17</v>
      </c>
      <c r="M83" t="str" cm="1">
        <f t="array" ref="M83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83" cm="1">
        <f t="array" ref="N8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1.92</v>
      </c>
      <c r="O83">
        <v>1.77</v>
      </c>
      <c r="P83">
        <f>IF(Fact_Betting_Table[[#This Row],[B365 Closing Line]]="", "", Fact_Betting_Table[[#This Row],[Bet Line]]/Fact_Betting_Table[[#This Row],[B365 Closing Line]]-1)</f>
        <v>8.4745762711864403E-2</v>
      </c>
      <c r="Q83" cm="1">
        <f t="array" ref="Q83">_xlfn.IFS(Fact_Betting_Table[[#This Row],[prediction]]=Fact_Betting_Table[[#This Row],[home_team]], 1, Fact_Betting_Table[[#This Row],[prediction]]=Fact_Betting_Table[[#This Row],[away_team]], 0)</f>
        <v>0</v>
      </c>
      <c r="R83">
        <v>1</v>
      </c>
      <c r="S83" t="str" cm="1">
        <f t="array" ref="S83">_xlfn.IFS(Fact_Betting_Table[[#This Row],[Result HomeAway]]=1,Fact_Betting_Table[[#This Row],[home_team]],Fact_Betting_Table[[#This Row],[Result HomeAway]]="","",Fact_Betting_Table[[#This Row],[Result HomeAway]]=0,Fact_Betting_Table[[#This Row],[away_team]])</f>
        <v>Rabbitohs</v>
      </c>
      <c r="T83" s="3">
        <f>IF(Fact_Betting_Table[[#This Row],[Result HomeAway]]="", "", IF(Fact_Betting_Table[[#This Row],[Result HomeAway]]=Fact_Betting_Table[[#This Row],[Prediction HomeAway]],1,0))</f>
        <v>0</v>
      </c>
    </row>
    <row r="84" spans="1:20" x14ac:dyDescent="0.25">
      <c r="A84" s="2">
        <v>46216.086805555555</v>
      </c>
      <c r="B84">
        <v>129991906</v>
      </c>
      <c r="C84" t="s">
        <v>19</v>
      </c>
      <c r="D84" t="s">
        <v>7</v>
      </c>
      <c r="E84">
        <v>0.68997159600257874</v>
      </c>
      <c r="F84">
        <v>0.31002840399742126</v>
      </c>
      <c r="G84" t="s">
        <v>19</v>
      </c>
      <c r="H84" s="2">
        <v>46215.670138888891</v>
      </c>
      <c r="I84">
        <v>1.56</v>
      </c>
      <c r="J84">
        <v>2.58</v>
      </c>
      <c r="K84" t="s">
        <v>64</v>
      </c>
      <c r="L84" t="s">
        <v>19</v>
      </c>
      <c r="M84" t="str" cm="1">
        <f t="array" ref="M84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4" cm="1">
        <f t="array" ref="N8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1.56</v>
      </c>
      <c r="O84">
        <v>1.47</v>
      </c>
      <c r="P84">
        <f>IF(Fact_Betting_Table[[#This Row],[B365 Closing Line]]="", "", Fact_Betting_Table[[#This Row],[Bet Line]]/Fact_Betting_Table[[#This Row],[B365 Closing Line]]-1)</f>
        <v>6.1224489795918435E-2</v>
      </c>
      <c r="Q84" cm="1">
        <f t="array" ref="Q84">_xlfn.IFS(Fact_Betting_Table[[#This Row],[prediction]]=Fact_Betting_Table[[#This Row],[home_team]], 1, Fact_Betting_Table[[#This Row],[prediction]]=Fact_Betting_Table[[#This Row],[away_team]], 0)</f>
        <v>1</v>
      </c>
      <c r="R84">
        <v>0</v>
      </c>
      <c r="S84" t="str" cm="1">
        <f t="array" ref="S84">_xlfn.IFS(Fact_Betting_Table[[#This Row],[Result HomeAway]]=1,Fact_Betting_Table[[#This Row],[home_team]],Fact_Betting_Table[[#This Row],[Result HomeAway]]="","",Fact_Betting_Table[[#This Row],[Result HomeAway]]=0,Fact_Betting_Table[[#This Row],[away_team]])</f>
        <v>Cowboys</v>
      </c>
      <c r="T84" s="3">
        <f>IF(Fact_Betting_Table[[#This Row],[Result HomeAway]]="", "", IF(Fact_Betting_Table[[#This Row],[Result HomeAway]]=Fact_Betting_Table[[#This Row],[Prediction HomeAway]],1,0))</f>
        <v>0</v>
      </c>
    </row>
    <row r="85" spans="1:20" x14ac:dyDescent="0.25">
      <c r="A85" s="2">
        <v>46216.177083333336</v>
      </c>
      <c r="B85">
        <v>129991907</v>
      </c>
      <c r="C85" t="s">
        <v>15</v>
      </c>
      <c r="D85" t="s">
        <v>22</v>
      </c>
      <c r="E85">
        <v>0.72323930263519287</v>
      </c>
      <c r="F85">
        <v>0.27676069736480713</v>
      </c>
      <c r="G85" t="s">
        <v>15</v>
      </c>
      <c r="H85" s="2">
        <v>46215.760416666664</v>
      </c>
      <c r="I85">
        <v>1.28</v>
      </c>
      <c r="J85">
        <v>3.9</v>
      </c>
      <c r="K85" t="s">
        <v>64</v>
      </c>
      <c r="L85" t="s">
        <v>22</v>
      </c>
      <c r="M85" t="str" cm="1">
        <f t="array" ref="M8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85" cm="1">
        <f t="array" ref="N8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3.9</v>
      </c>
      <c r="O85">
        <v>3.5</v>
      </c>
      <c r="P85">
        <f>IF(Fact_Betting_Table[[#This Row],[B365 Closing Line]]="", "", Fact_Betting_Table[[#This Row],[Bet Line]]/Fact_Betting_Table[[#This Row],[B365 Closing Line]]-1)</f>
        <v>0.11428571428571432</v>
      </c>
      <c r="Q85" cm="1">
        <f t="array" ref="Q85">_xlfn.IFS(Fact_Betting_Table[[#This Row],[prediction]]=Fact_Betting_Table[[#This Row],[home_team]], 1, Fact_Betting_Table[[#This Row],[prediction]]=Fact_Betting_Table[[#This Row],[away_team]], 0)</f>
        <v>1</v>
      </c>
      <c r="R85">
        <v>1</v>
      </c>
      <c r="S85" t="str" cm="1">
        <f t="array" ref="S85">_xlfn.IFS(Fact_Betting_Table[[#This Row],[Result HomeAway]]=1,Fact_Betting_Table[[#This Row],[home_team]],Fact_Betting_Table[[#This Row],[Result HomeAway]]="","",Fact_Betting_Table[[#This Row],[Result HomeAway]]=0,Fact_Betting_Table[[#This Row],[away_team]])</f>
        <v>Storm</v>
      </c>
      <c r="T85" s="3">
        <f>IF(Fact_Betting_Table[[#This Row],[Result HomeAway]]="", "", IF(Fact_Betting_Table[[#This Row],[Result HomeAway]]=Fact_Betting_Table[[#This Row],[Prediction HomeAway]],1,0))</f>
        <v>1</v>
      </c>
    </row>
    <row r="86" spans="1:20" x14ac:dyDescent="0.25">
      <c r="A86" s="2">
        <v>46219.826388888891</v>
      </c>
      <c r="B86">
        <v>129992001</v>
      </c>
      <c r="C86" t="s">
        <v>16</v>
      </c>
      <c r="D86" t="s">
        <v>9</v>
      </c>
      <c r="E86">
        <v>0.89923866893232407</v>
      </c>
      <c r="F86">
        <v>0.10076133106767593</v>
      </c>
      <c r="G86" t="s">
        <v>16</v>
      </c>
      <c r="H86" s="2">
        <v>46219.409722222219</v>
      </c>
      <c r="I86">
        <v>1.23</v>
      </c>
      <c r="J86">
        <v>4.9000000000000004</v>
      </c>
      <c r="K86" t="s">
        <v>64</v>
      </c>
      <c r="L86" t="s">
        <v>16</v>
      </c>
      <c r="M86" t="str" cm="1">
        <f t="array" ref="M86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6" cm="1">
        <f t="array" ref="N8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1.23</v>
      </c>
      <c r="O86">
        <v>1.22</v>
      </c>
      <c r="P86">
        <f>IF(Fact_Betting_Table[[#This Row],[B365 Closing Line]]="", "", Fact_Betting_Table[[#This Row],[Bet Line]]/Fact_Betting_Table[[#This Row],[B365 Closing Line]]-1)</f>
        <v>8.1967213114753079E-3</v>
      </c>
      <c r="Q86" cm="1">
        <f t="array" ref="Q86">_xlfn.IFS(Fact_Betting_Table[[#This Row],[prediction]]=Fact_Betting_Table[[#This Row],[home_team]], 1, Fact_Betting_Table[[#This Row],[prediction]]=Fact_Betting_Table[[#This Row],[away_team]], 0)</f>
        <v>1</v>
      </c>
      <c r="R86">
        <v>0</v>
      </c>
      <c r="S86" t="str" cm="1">
        <f t="array" ref="S86">_xlfn.IFS(Fact_Betting_Table[[#This Row],[Result HomeAway]]=1,Fact_Betting_Table[[#This Row],[home_team]],Fact_Betting_Table[[#This Row],[Result HomeAway]]="","",Fact_Betting_Table[[#This Row],[Result HomeAway]]=0,Fact_Betting_Table[[#This Row],[away_team]])</f>
        <v>Broncos</v>
      </c>
      <c r="T86" s="3">
        <f>IF(Fact_Betting_Table[[#This Row],[Result HomeAway]]="", "", IF(Fact_Betting_Table[[#This Row],[Result HomeAway]]=Fact_Betting_Table[[#This Row],[Prediction HomeAway]],1,0))</f>
        <v>0</v>
      </c>
    </row>
    <row r="87" spans="1:20" x14ac:dyDescent="0.25">
      <c r="A87" s="2">
        <v>46220.75</v>
      </c>
      <c r="B87">
        <v>129992002</v>
      </c>
      <c r="C87" t="s">
        <v>6</v>
      </c>
      <c r="D87" t="s">
        <v>17</v>
      </c>
      <c r="E87">
        <v>0.71187864739941131</v>
      </c>
      <c r="F87">
        <v>0.28812135260058869</v>
      </c>
      <c r="G87" t="s">
        <v>6</v>
      </c>
      <c r="H87" s="2">
        <v>46220.333333333336</v>
      </c>
      <c r="I87">
        <v>1.61</v>
      </c>
      <c r="J87">
        <v>1.01</v>
      </c>
      <c r="K87" t="s">
        <v>64</v>
      </c>
      <c r="L87" t="s">
        <v>6</v>
      </c>
      <c r="M87" t="str" cm="1">
        <f t="array" ref="M87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7" cm="1">
        <f t="array" ref="N8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1.61</v>
      </c>
      <c r="O87">
        <v>1.38</v>
      </c>
      <c r="P87">
        <f>IF(Fact_Betting_Table[[#This Row],[B365 Closing Line]]="", "", Fact_Betting_Table[[#This Row],[Bet Line]]/Fact_Betting_Table[[#This Row],[B365 Closing Line]]-1)</f>
        <v>0.16666666666666674</v>
      </c>
      <c r="Q87" cm="1">
        <f t="array" ref="Q87">_xlfn.IFS(Fact_Betting_Table[[#This Row],[prediction]]=Fact_Betting_Table[[#This Row],[home_team]], 1, Fact_Betting_Table[[#This Row],[prediction]]=Fact_Betting_Table[[#This Row],[away_team]], 0)</f>
        <v>1</v>
      </c>
      <c r="R87">
        <v>1</v>
      </c>
      <c r="S87" t="str" cm="1">
        <f t="array" ref="S87">_xlfn.IFS(Fact_Betting_Table[[#This Row],[Result HomeAway]]=1,Fact_Betting_Table[[#This Row],[home_team]],Fact_Betting_Table[[#This Row],[Result HomeAway]]="","",Fact_Betting_Table[[#This Row],[Result HomeAway]]=0,Fact_Betting_Table[[#This Row],[away_team]])</f>
        <v>Sharks</v>
      </c>
      <c r="T87" s="3">
        <f>IF(Fact_Betting_Table[[#This Row],[Result HomeAway]]="", "", IF(Fact_Betting_Table[[#This Row],[Result HomeAway]]=Fact_Betting_Table[[#This Row],[Prediction HomeAway]],1,0))</f>
        <v>1</v>
      </c>
    </row>
    <row r="88" spans="1:20" x14ac:dyDescent="0.25">
      <c r="A88" s="2">
        <v>46220.833333333336</v>
      </c>
      <c r="B88">
        <v>129992003</v>
      </c>
      <c r="C88" t="s">
        <v>10</v>
      </c>
      <c r="D88" t="s">
        <v>15</v>
      </c>
      <c r="E88">
        <v>0.64916962359578501</v>
      </c>
      <c r="F88">
        <v>0.35083037640421499</v>
      </c>
      <c r="G88" t="s">
        <v>10</v>
      </c>
      <c r="H88" s="2">
        <v>46220.416666666664</v>
      </c>
      <c r="I88">
        <v>1.25</v>
      </c>
      <c r="J88">
        <v>3.85</v>
      </c>
      <c r="K88" t="s">
        <v>67</v>
      </c>
      <c r="L88" t="s">
        <v>15</v>
      </c>
      <c r="M88" t="str" cm="1">
        <f t="array" ref="M88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88" cm="1">
        <f t="array" ref="N8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3.85</v>
      </c>
      <c r="O88">
        <v>3.9</v>
      </c>
      <c r="P88">
        <f>IF(Fact_Betting_Table[[#This Row],[B365 Closing Line]]="", "", Fact_Betting_Table[[#This Row],[Bet Line]]/Fact_Betting_Table[[#This Row],[B365 Closing Line]]-1)</f>
        <v>-1.2820512820512775E-2</v>
      </c>
      <c r="Q88" cm="1">
        <f t="array" ref="Q88">_xlfn.IFS(Fact_Betting_Table[[#This Row],[prediction]]=Fact_Betting_Table[[#This Row],[home_team]], 1, Fact_Betting_Table[[#This Row],[prediction]]=Fact_Betting_Table[[#This Row],[away_team]], 0)</f>
        <v>1</v>
      </c>
      <c r="R88">
        <v>1</v>
      </c>
      <c r="S88" t="str" cm="1">
        <f t="array" ref="S88">_xlfn.IFS(Fact_Betting_Table[[#This Row],[Result HomeAway]]=1,Fact_Betting_Table[[#This Row],[home_team]],Fact_Betting_Table[[#This Row],[Result HomeAway]]="","",Fact_Betting_Table[[#This Row],[Result HomeAway]]=0,Fact_Betting_Table[[#This Row],[away_team]])</f>
        <v>Roosters</v>
      </c>
      <c r="T88" s="3">
        <f>IF(Fact_Betting_Table[[#This Row],[Result HomeAway]]="", "", IF(Fact_Betting_Table[[#This Row],[Result HomeAway]]=Fact_Betting_Table[[#This Row],[Prediction HomeAway]],1,0))</f>
        <v>1</v>
      </c>
    </row>
    <row r="89" spans="1:20" x14ac:dyDescent="0.25">
      <c r="A89" s="2">
        <v>46221.625</v>
      </c>
      <c r="B89">
        <v>129992004</v>
      </c>
      <c r="C89" t="s">
        <v>4</v>
      </c>
      <c r="D89" t="s">
        <v>14</v>
      </c>
      <c r="E89">
        <v>0.5600968494704589</v>
      </c>
      <c r="F89">
        <v>0.4399031505295411</v>
      </c>
      <c r="G89" t="s">
        <v>4</v>
      </c>
      <c r="H89" s="2">
        <v>46221.208333333336</v>
      </c>
      <c r="I89">
        <v>1.85</v>
      </c>
      <c r="J89">
        <v>1.95</v>
      </c>
      <c r="K89" t="s">
        <v>66</v>
      </c>
      <c r="L89" t="s">
        <v>4</v>
      </c>
      <c r="M89" t="str" cm="1">
        <f t="array" ref="M89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89" cm="1">
        <f t="array" ref="N8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1.85</v>
      </c>
      <c r="O89">
        <v>1.91</v>
      </c>
      <c r="P89">
        <f>IF(Fact_Betting_Table[[#This Row],[B365 Closing Line]]="", "", Fact_Betting_Table[[#This Row],[Bet Line]]/Fact_Betting_Table[[#This Row],[B365 Closing Line]]-1)</f>
        <v>-3.1413612565444948E-2</v>
      </c>
      <c r="Q89" cm="1">
        <f t="array" ref="Q89">_xlfn.IFS(Fact_Betting_Table[[#This Row],[prediction]]=Fact_Betting_Table[[#This Row],[home_team]], 1, Fact_Betting_Table[[#This Row],[prediction]]=Fact_Betting_Table[[#This Row],[away_team]], 0)</f>
        <v>1</v>
      </c>
      <c r="R89">
        <v>1</v>
      </c>
      <c r="S89" t="str" cm="1">
        <f t="array" ref="S89">_xlfn.IFS(Fact_Betting_Table[[#This Row],[Result HomeAway]]=1,Fact_Betting_Table[[#This Row],[home_team]],Fact_Betting_Table[[#This Row],[Result HomeAway]]="","",Fact_Betting_Table[[#This Row],[Result HomeAway]]=0,Fact_Betting_Table[[#This Row],[away_team]])</f>
        <v>Raiders</v>
      </c>
      <c r="T89" s="3">
        <f>IF(Fact_Betting_Table[[#This Row],[Result HomeAway]]="", "", IF(Fact_Betting_Table[[#This Row],[Result HomeAway]]=Fact_Betting_Table[[#This Row],[Prediction HomeAway]],1,0))</f>
        <v>1</v>
      </c>
    </row>
    <row r="90" spans="1:20" x14ac:dyDescent="0.25">
      <c r="A90" s="2">
        <v>46221.815972222219</v>
      </c>
      <c r="B90">
        <v>129992005</v>
      </c>
      <c r="C90" t="s">
        <v>13</v>
      </c>
      <c r="D90" t="s">
        <v>11</v>
      </c>
      <c r="E90">
        <v>0.86883937575685943</v>
      </c>
      <c r="F90">
        <v>0.13116062424314057</v>
      </c>
      <c r="G90" t="s">
        <v>13</v>
      </c>
      <c r="H90" s="2">
        <v>46221.315972222219</v>
      </c>
      <c r="I90">
        <v>1.21</v>
      </c>
      <c r="J90">
        <v>1.01</v>
      </c>
      <c r="K90" t="s">
        <v>64</v>
      </c>
      <c r="L90" t="s">
        <v>13</v>
      </c>
      <c r="M90" t="str" cm="1">
        <f t="array" ref="M90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0" cm="1">
        <f t="array" ref="N9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1.21</v>
      </c>
      <c r="O90">
        <v>1.1499999999999999</v>
      </c>
      <c r="P90">
        <f>IF(Fact_Betting_Table[[#This Row],[B365 Closing Line]]="", "", Fact_Betting_Table[[#This Row],[Bet Line]]/Fact_Betting_Table[[#This Row],[B365 Closing Line]]-1)</f>
        <v>5.2173913043478404E-2</v>
      </c>
      <c r="Q90" cm="1">
        <f t="array" ref="Q90">_xlfn.IFS(Fact_Betting_Table[[#This Row],[prediction]]=Fact_Betting_Table[[#This Row],[home_team]], 1, Fact_Betting_Table[[#This Row],[prediction]]=Fact_Betting_Table[[#This Row],[away_team]], 0)</f>
        <v>1</v>
      </c>
      <c r="R90">
        <v>1</v>
      </c>
      <c r="S90" t="str" cm="1">
        <f t="array" ref="S90">_xlfn.IFS(Fact_Betting_Table[[#This Row],[Result HomeAway]]=1,Fact_Betting_Table[[#This Row],[home_team]],Fact_Betting_Table[[#This Row],[Result HomeAway]]="","",Fact_Betting_Table[[#This Row],[Result HomeAway]]=0,Fact_Betting_Table[[#This Row],[away_team]])</f>
        <v>Warriors</v>
      </c>
      <c r="T90" s="3">
        <f>IF(Fact_Betting_Table[[#This Row],[Result HomeAway]]="", "", IF(Fact_Betting_Table[[#This Row],[Result HomeAway]]=Fact_Betting_Table[[#This Row],[Prediction HomeAway]],1,0))</f>
        <v>1</v>
      </c>
    </row>
    <row r="91" spans="1:20" x14ac:dyDescent="0.25">
      <c r="A91" s="2">
        <v>46221.815972222219</v>
      </c>
      <c r="B91">
        <v>129992006</v>
      </c>
      <c r="C91" t="s">
        <v>8</v>
      </c>
      <c r="D91" t="s">
        <v>5</v>
      </c>
      <c r="E91">
        <v>0.75891877957924203</v>
      </c>
      <c r="F91">
        <v>0.24108122042075797</v>
      </c>
      <c r="G91" t="s">
        <v>8</v>
      </c>
      <c r="H91" s="2">
        <v>46221.399305555555</v>
      </c>
      <c r="I91">
        <v>1.57</v>
      </c>
      <c r="J91">
        <v>2.4500000000000002</v>
      </c>
      <c r="K91" t="s">
        <v>65</v>
      </c>
      <c r="L91" t="s">
        <v>8</v>
      </c>
      <c r="M91" t="str" cm="1">
        <f t="array" ref="M9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1" cm="1">
        <f t="array" ref="N9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1.57</v>
      </c>
      <c r="O91">
        <v>1.55</v>
      </c>
      <c r="P91">
        <f>IF(Fact_Betting_Table[[#This Row],[B365 Closing Line]]="", "", Fact_Betting_Table[[#This Row],[Bet Line]]/Fact_Betting_Table[[#This Row],[B365 Closing Line]]-1)</f>
        <v>1.2903225806451646E-2</v>
      </c>
      <c r="Q91" cm="1">
        <f t="array" ref="Q91">_xlfn.IFS(Fact_Betting_Table[[#This Row],[prediction]]=Fact_Betting_Table[[#This Row],[home_team]], 1, Fact_Betting_Table[[#This Row],[prediction]]=Fact_Betting_Table[[#This Row],[away_team]], 0)</f>
        <v>1</v>
      </c>
      <c r="R91">
        <v>1</v>
      </c>
      <c r="S91" t="str" cm="1">
        <f t="array" ref="S91">_xlfn.IFS(Fact_Betting_Table[[#This Row],[Result HomeAway]]=1,Fact_Betting_Table[[#This Row],[home_team]],Fact_Betting_Table[[#This Row],[Result HomeAway]]="","",Fact_Betting_Table[[#This Row],[Result HomeAway]]=0,Fact_Betting_Table[[#This Row],[away_team]])</f>
        <v>Bulldogs</v>
      </c>
      <c r="T91" s="3">
        <f>IF(Fact_Betting_Table[[#This Row],[Result HomeAway]]="", "", IF(Fact_Betting_Table[[#This Row],[Result HomeAway]]=Fact_Betting_Table[[#This Row],[Prediction HomeAway]],1,0))</f>
        <v>1</v>
      </c>
    </row>
    <row r="92" spans="1:20" x14ac:dyDescent="0.25">
      <c r="A92" s="2">
        <v>46222.583333333336</v>
      </c>
      <c r="B92">
        <v>129992007</v>
      </c>
      <c r="C92" t="s">
        <v>22</v>
      </c>
      <c r="D92" t="s">
        <v>19</v>
      </c>
      <c r="E92">
        <v>0.21201484902770462</v>
      </c>
      <c r="F92">
        <v>0.78798515097229538</v>
      </c>
      <c r="G92" t="s">
        <v>19</v>
      </c>
      <c r="H92" s="2">
        <v>46222.166666666664</v>
      </c>
      <c r="I92">
        <v>2.35</v>
      </c>
      <c r="J92">
        <v>1.6</v>
      </c>
      <c r="K92" t="s">
        <v>63</v>
      </c>
      <c r="L92" t="s">
        <v>19</v>
      </c>
      <c r="M92" t="str" cm="1">
        <f t="array" ref="M92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92" cm="1">
        <f t="array" ref="N92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</v>
      </c>
      <c r="O92">
        <v>1.53</v>
      </c>
      <c r="P92">
        <f>IF(Fact_Betting_Table[[#This Row],[B365 Closing Line]]="", "", Fact_Betting_Table[[#This Row],[Bet Line]]/Fact_Betting_Table[[#This Row],[B365 Closing Line]]-1)</f>
        <v>4.5751633986928164E-2</v>
      </c>
      <c r="Q92" cm="1">
        <f t="array" ref="Q92">_xlfn.IFS(Fact_Betting_Table[[#This Row],[prediction]]=Fact_Betting_Table[[#This Row],[home_team]], 1, Fact_Betting_Table[[#This Row],[prediction]]=Fact_Betting_Table[[#This Row],[away_team]], 0)</f>
        <v>0</v>
      </c>
      <c r="R92">
        <v>1</v>
      </c>
      <c r="S92" t="str" cm="1">
        <f t="array" ref="S92">_xlfn.IFS(Fact_Betting_Table[[#This Row],[Result HomeAway]]=1,Fact_Betting_Table[[#This Row],[home_team]],Fact_Betting_Table[[#This Row],[Result HomeAway]]="","",Fact_Betting_Table[[#This Row],[Result HomeAway]]=0,Fact_Betting_Table[[#This Row],[away_team]])</f>
        <v>Titans</v>
      </c>
      <c r="T92" s="3">
        <f>IF(Fact_Betting_Table[[#This Row],[Result HomeAway]]="", "", IF(Fact_Betting_Table[[#This Row],[Result HomeAway]]=Fact_Betting_Table[[#This Row],[Prediction HomeAway]],1,0))</f>
        <v>0</v>
      </c>
    </row>
    <row r="93" spans="1:20" x14ac:dyDescent="0.25">
      <c r="A93" s="2">
        <v>46222.670138888891</v>
      </c>
      <c r="B93">
        <v>129992008</v>
      </c>
      <c r="C93" t="s">
        <v>12</v>
      </c>
      <c r="D93" t="s">
        <v>7</v>
      </c>
      <c r="E93">
        <v>0.68190535749025871</v>
      </c>
      <c r="F93">
        <v>0.31809464250974129</v>
      </c>
      <c r="G93" t="s">
        <v>12</v>
      </c>
      <c r="H93" s="2">
        <v>46222.253472222219</v>
      </c>
      <c r="I93">
        <v>1.66</v>
      </c>
      <c r="J93">
        <v>2.36</v>
      </c>
      <c r="K93" t="s">
        <v>64</v>
      </c>
      <c r="L93" t="s">
        <v>12</v>
      </c>
      <c r="M93" t="str" cm="1">
        <f t="array" ref="M93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3" cm="1">
        <f t="array" ref="N93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1.66</v>
      </c>
      <c r="O93">
        <v>1.57</v>
      </c>
      <c r="P93">
        <f>IF(Fact_Betting_Table[[#This Row],[B365 Closing Line]]="", "", Fact_Betting_Table[[#This Row],[Bet Line]]/Fact_Betting_Table[[#This Row],[B365 Closing Line]]-1)</f>
        <v>5.7324840764331197E-2</v>
      </c>
      <c r="Q93" cm="1">
        <f t="array" ref="Q93">_xlfn.IFS(Fact_Betting_Table[[#This Row],[prediction]]=Fact_Betting_Table[[#This Row],[home_team]], 1, Fact_Betting_Table[[#This Row],[prediction]]=Fact_Betting_Table[[#This Row],[away_team]], 0)</f>
        <v>1</v>
      </c>
      <c r="R93">
        <v>1</v>
      </c>
      <c r="S93" t="str" cm="1">
        <f t="array" ref="S93">_xlfn.IFS(Fact_Betting_Table[[#This Row],[Result HomeAway]]=1,Fact_Betting_Table[[#This Row],[home_team]],Fact_Betting_Table[[#This Row],[Result HomeAway]]="","",Fact_Betting_Table[[#This Row],[Result HomeAway]]=0,Fact_Betting_Table[[#This Row],[away_team]])</f>
        <v>Dolphins</v>
      </c>
      <c r="T93" s="3">
        <f>IF(Fact_Betting_Table[[#This Row],[Result HomeAway]]="", "", IF(Fact_Betting_Table[[#This Row],[Result HomeAway]]=Fact_Betting_Table[[#This Row],[Prediction HomeAway]],1,0))</f>
        <v>1</v>
      </c>
    </row>
    <row r="94" spans="1:20" x14ac:dyDescent="0.25">
      <c r="A94" s="2">
        <v>46226.826388888891</v>
      </c>
      <c r="B94">
        <v>129992101</v>
      </c>
      <c r="C94" t="s">
        <v>18</v>
      </c>
      <c r="D94" t="s">
        <v>16</v>
      </c>
      <c r="E94">
        <v>0.15125704769332993</v>
      </c>
      <c r="F94">
        <v>0.84874295230667007</v>
      </c>
      <c r="G94" t="s">
        <v>16</v>
      </c>
      <c r="H94" s="2">
        <v>46226.409722222219</v>
      </c>
      <c r="I94">
        <v>4.5999999999999996</v>
      </c>
      <c r="J94">
        <v>1.19</v>
      </c>
      <c r="K94" t="s">
        <v>73</v>
      </c>
      <c r="L94" t="s">
        <v>16</v>
      </c>
      <c r="M94" t="str" cm="1">
        <f t="array" ref="M94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94" cm="1">
        <f t="array" ref="N94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1.19</v>
      </c>
      <c r="O94">
        <v>1.18</v>
      </c>
      <c r="P94">
        <f>IF(Fact_Betting_Table[[#This Row],[B365 Closing Line]]="", "", Fact_Betting_Table[[#This Row],[Bet Line]]/Fact_Betting_Table[[#This Row],[B365 Closing Line]]-1)</f>
        <v>8.4745762711864181E-3</v>
      </c>
      <c r="Q94" cm="1">
        <f t="array" ref="Q94">_xlfn.IFS(Fact_Betting_Table[[#This Row],[prediction]]=Fact_Betting_Table[[#This Row],[home_team]], 1, Fact_Betting_Table[[#This Row],[prediction]]=Fact_Betting_Table[[#This Row],[away_team]], 0)</f>
        <v>0</v>
      </c>
      <c r="R94">
        <v>0</v>
      </c>
      <c r="S94" t="str" cm="1">
        <f t="array" ref="S94">_xlfn.IFS(Fact_Betting_Table[[#This Row],[Result HomeAway]]=1,Fact_Betting_Table[[#This Row],[home_team]],Fact_Betting_Table[[#This Row],[Result HomeAway]]="","",Fact_Betting_Table[[#This Row],[Result HomeAway]]=0,Fact_Betting_Table[[#This Row],[away_team]])</f>
        <v>Panthers</v>
      </c>
      <c r="T94" s="3">
        <f>IF(Fact_Betting_Table[[#This Row],[Result HomeAway]]="", "", IF(Fact_Betting_Table[[#This Row],[Result HomeAway]]=Fact_Betting_Table[[#This Row],[Prediction HomeAway]],1,0))</f>
        <v>1</v>
      </c>
    </row>
    <row r="95" spans="1:20" x14ac:dyDescent="0.25">
      <c r="A95" s="2">
        <v>46227.75</v>
      </c>
      <c r="B95">
        <v>129992102</v>
      </c>
      <c r="C95" t="s">
        <v>17</v>
      </c>
      <c r="D95" t="s">
        <v>10</v>
      </c>
      <c r="E95">
        <v>0.3791435362590983</v>
      </c>
      <c r="F95">
        <v>0.62085646374090175</v>
      </c>
      <c r="G95" t="s">
        <v>10</v>
      </c>
      <c r="H95" s="2">
        <v>46227.333333333336</v>
      </c>
      <c r="I95">
        <v>2.1</v>
      </c>
      <c r="J95">
        <v>1.75</v>
      </c>
      <c r="K95" t="s">
        <v>65</v>
      </c>
      <c r="L95" t="s">
        <v>10</v>
      </c>
      <c r="M95" t="str" cm="1">
        <f t="array" ref="M95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95" cm="1">
        <f t="array" ref="N95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1.75</v>
      </c>
      <c r="P95" t="str">
        <f>IF(Fact_Betting_Table[[#This Row],[B365 Closing Line]]="", "", Fact_Betting_Table[[#This Row],[Bet Line]]/Fact_Betting_Table[[#This Row],[B365 Closing Line]]-1)</f>
        <v/>
      </c>
      <c r="Q95" cm="1">
        <f t="array" ref="Q95">_xlfn.IFS(Fact_Betting_Table[[#This Row],[prediction]]=Fact_Betting_Table[[#This Row],[home_team]], 1, Fact_Betting_Table[[#This Row],[prediction]]=Fact_Betting_Table[[#This Row],[away_team]], 0)</f>
        <v>0</v>
      </c>
      <c r="S95" t="str" cm="1">
        <f t="array" ref="S95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95" s="3" t="str">
        <f>IF(Fact_Betting_Table[[#This Row],[Result HomeAway]]="", "", IF(Fact_Betting_Table[[#This Row],[Result HomeAway]]=Fact_Betting_Table[[#This Row],[Prediction HomeAway]],1,0))</f>
        <v/>
      </c>
    </row>
    <row r="96" spans="1:20" x14ac:dyDescent="0.25">
      <c r="A96" s="2">
        <v>46227.833333333336</v>
      </c>
      <c r="B96">
        <v>129992103</v>
      </c>
      <c r="C96" t="s">
        <v>14</v>
      </c>
      <c r="D96" t="s">
        <v>15</v>
      </c>
      <c r="E96">
        <v>0.48475499947467121</v>
      </c>
      <c r="F96">
        <v>0.51524500052532884</v>
      </c>
      <c r="G96" t="s">
        <v>15</v>
      </c>
      <c r="H96" s="2">
        <v>46227.416666666664</v>
      </c>
      <c r="I96">
        <v>2.04</v>
      </c>
      <c r="J96">
        <v>1.81</v>
      </c>
      <c r="K96" t="s">
        <v>61</v>
      </c>
      <c r="L96" t="s">
        <v>14</v>
      </c>
      <c r="M96" t="str" cm="1">
        <f t="array" ref="M96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6" cm="1">
        <f t="array" ref="N96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2.04</v>
      </c>
      <c r="P96" t="str">
        <f>IF(Fact_Betting_Table[[#This Row],[B365 Closing Line]]="", "", Fact_Betting_Table[[#This Row],[Bet Line]]/Fact_Betting_Table[[#This Row],[B365 Closing Line]]-1)</f>
        <v/>
      </c>
      <c r="Q96" cm="1">
        <f t="array" ref="Q96">_xlfn.IFS(Fact_Betting_Table[[#This Row],[prediction]]=Fact_Betting_Table[[#This Row],[home_team]], 1, Fact_Betting_Table[[#This Row],[prediction]]=Fact_Betting_Table[[#This Row],[away_team]], 0)</f>
        <v>0</v>
      </c>
      <c r="S96" t="str" cm="1">
        <f t="array" ref="S96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96" s="3" t="str">
        <f>IF(Fact_Betting_Table[[#This Row],[Result HomeAway]]="", "", IF(Fact_Betting_Table[[#This Row],[Result HomeAway]]=Fact_Betting_Table[[#This Row],[Prediction HomeAway]],1,0))</f>
        <v/>
      </c>
    </row>
    <row r="97" spans="1:20" x14ac:dyDescent="0.25">
      <c r="A97" s="2">
        <v>46228.625</v>
      </c>
      <c r="B97">
        <v>129992104</v>
      </c>
      <c r="C97" t="s">
        <v>4</v>
      </c>
      <c r="D97" t="s">
        <v>5</v>
      </c>
      <c r="E97">
        <v>0.72209360940724432</v>
      </c>
      <c r="F97">
        <v>0.27790639059275568</v>
      </c>
      <c r="G97" t="s">
        <v>4</v>
      </c>
      <c r="H97" s="2">
        <v>46228.208333333336</v>
      </c>
      <c r="I97">
        <v>1.06</v>
      </c>
      <c r="J97">
        <v>4.8</v>
      </c>
      <c r="K97" t="s">
        <v>64</v>
      </c>
      <c r="L97" t="s">
        <v>5</v>
      </c>
      <c r="M97" t="str" cm="1">
        <f t="array" ref="M97">_xlfn.IFS(Fact_Betting_Table[[#This Row],[ev_bet]]=Fact_Betting_Table[[#This Row],[home_team]],"Home",Fact_Betting_Table[[#This Row],[ev_bet]]=Fact_Betting_Table[[#This Row],[away_team]],"Away",Fact_Betting_Table[[#This Row],[ev_bet]]="","")</f>
        <v>Away</v>
      </c>
      <c r="N97" cm="1">
        <f t="array" ref="N97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4.8</v>
      </c>
      <c r="P97" t="str">
        <f>IF(Fact_Betting_Table[[#This Row],[B365 Closing Line]]="", "", Fact_Betting_Table[[#This Row],[Bet Line]]/Fact_Betting_Table[[#This Row],[B365 Closing Line]]-1)</f>
        <v/>
      </c>
      <c r="Q97" cm="1">
        <f t="array" ref="Q97">_xlfn.IFS(Fact_Betting_Table[[#This Row],[prediction]]=Fact_Betting_Table[[#This Row],[home_team]], 1, Fact_Betting_Table[[#This Row],[prediction]]=Fact_Betting_Table[[#This Row],[away_team]], 0)</f>
        <v>1</v>
      </c>
      <c r="S97" t="str" cm="1">
        <f t="array" ref="S97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97" s="3" t="str">
        <f>IF(Fact_Betting_Table[[#This Row],[Result HomeAway]]="", "", IF(Fact_Betting_Table[[#This Row],[Result HomeAway]]=Fact_Betting_Table[[#This Row],[Prediction HomeAway]],1,0))</f>
        <v/>
      </c>
    </row>
    <row r="98" spans="1:20" x14ac:dyDescent="0.25">
      <c r="A98" s="2">
        <v>46228.729166666664</v>
      </c>
      <c r="B98">
        <v>129992105</v>
      </c>
      <c r="C98" t="s">
        <v>8</v>
      </c>
      <c r="D98" t="s">
        <v>13</v>
      </c>
      <c r="E98">
        <v>0.43201187149951964</v>
      </c>
      <c r="F98">
        <v>0.56798812850048042</v>
      </c>
      <c r="G98" t="s">
        <v>13</v>
      </c>
      <c r="H98" s="2">
        <v>46228.3125</v>
      </c>
      <c r="I98">
        <v>2.64</v>
      </c>
      <c r="J98">
        <v>1.59</v>
      </c>
      <c r="K98" t="s">
        <v>64</v>
      </c>
      <c r="L98" t="s">
        <v>8</v>
      </c>
      <c r="M98" t="str" cm="1">
        <f t="array" ref="M98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8" cm="1">
        <f t="array" ref="N98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2.64</v>
      </c>
      <c r="P98" t="str">
        <f>IF(Fact_Betting_Table[[#This Row],[B365 Closing Line]]="", "", Fact_Betting_Table[[#This Row],[Bet Line]]/Fact_Betting_Table[[#This Row],[B365 Closing Line]]-1)</f>
        <v/>
      </c>
      <c r="Q98" cm="1">
        <f t="array" ref="Q98">_xlfn.IFS(Fact_Betting_Table[[#This Row],[prediction]]=Fact_Betting_Table[[#This Row],[home_team]], 1, Fact_Betting_Table[[#This Row],[prediction]]=Fact_Betting_Table[[#This Row],[away_team]], 0)</f>
        <v>0</v>
      </c>
      <c r="S98" t="str" cm="1">
        <f t="array" ref="S98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98" s="3" t="str">
        <f>IF(Fact_Betting_Table[[#This Row],[Result HomeAway]]="", "", IF(Fact_Betting_Table[[#This Row],[Result HomeAway]]=Fact_Betting_Table[[#This Row],[Prediction HomeAway]],1,0))</f>
        <v/>
      </c>
    </row>
    <row r="99" spans="1:20" x14ac:dyDescent="0.25">
      <c r="A99" s="2">
        <v>46228.8125</v>
      </c>
      <c r="B99">
        <v>129992106</v>
      </c>
      <c r="C99" t="s">
        <v>7</v>
      </c>
      <c r="D99" t="s">
        <v>9</v>
      </c>
      <c r="E99">
        <v>0.74102898489529689</v>
      </c>
      <c r="F99">
        <v>0.25897101510470311</v>
      </c>
      <c r="G99" t="s">
        <v>7</v>
      </c>
      <c r="H99" s="2">
        <v>46228.399305555555</v>
      </c>
      <c r="I99">
        <v>2.2999999999999998</v>
      </c>
      <c r="J99">
        <v>1.62</v>
      </c>
      <c r="K99" t="s">
        <v>66</v>
      </c>
      <c r="L99" t="s">
        <v>7</v>
      </c>
      <c r="M99" t="str" cm="1">
        <f t="array" ref="M99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99" cm="1">
        <f t="array" ref="N99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2.2999999999999998</v>
      </c>
      <c r="P99" t="str">
        <f>IF(Fact_Betting_Table[[#This Row],[B365 Closing Line]]="", "", Fact_Betting_Table[[#This Row],[Bet Line]]/Fact_Betting_Table[[#This Row],[B365 Closing Line]]-1)</f>
        <v/>
      </c>
      <c r="Q99" cm="1">
        <f t="array" ref="Q99">_xlfn.IFS(Fact_Betting_Table[[#This Row],[prediction]]=Fact_Betting_Table[[#This Row],[home_team]], 1, Fact_Betting_Table[[#This Row],[prediction]]=Fact_Betting_Table[[#This Row],[away_team]], 0)</f>
        <v>1</v>
      </c>
      <c r="S99" t="str" cm="1">
        <f t="array" ref="S99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99" s="3" t="str">
        <f>IF(Fact_Betting_Table[[#This Row],[Result HomeAway]]="", "", IF(Fact_Betting_Table[[#This Row],[Result HomeAway]]=Fact_Betting_Table[[#This Row],[Prediction HomeAway]],1,0))</f>
        <v/>
      </c>
    </row>
    <row r="100" spans="1:20" x14ac:dyDescent="0.25">
      <c r="A100" s="2">
        <v>46229.583333333336</v>
      </c>
      <c r="B100">
        <v>129992107</v>
      </c>
      <c r="C100" t="s">
        <v>11</v>
      </c>
      <c r="D100" t="s">
        <v>22</v>
      </c>
      <c r="E100">
        <v>0.58020035928997526</v>
      </c>
      <c r="F100">
        <v>0.41979964071002474</v>
      </c>
      <c r="G100" t="s">
        <v>11</v>
      </c>
      <c r="H100" s="2">
        <v>46229.166666666664</v>
      </c>
      <c r="I100">
        <v>1.93</v>
      </c>
      <c r="J100">
        <v>1.97</v>
      </c>
      <c r="K100" t="s">
        <v>64</v>
      </c>
      <c r="L100" t="s">
        <v>11</v>
      </c>
      <c r="M100" t="str" cm="1">
        <f t="array" ref="M100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100" cm="1">
        <f t="array" ref="N100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1.93</v>
      </c>
      <c r="P100" t="str">
        <f>IF(Fact_Betting_Table[[#This Row],[B365 Closing Line]]="", "", Fact_Betting_Table[[#This Row],[Bet Line]]/Fact_Betting_Table[[#This Row],[B365 Closing Line]]-1)</f>
        <v/>
      </c>
      <c r="Q100" cm="1">
        <f t="array" ref="Q100">_xlfn.IFS(Fact_Betting_Table[[#This Row],[prediction]]=Fact_Betting_Table[[#This Row],[home_team]], 1, Fact_Betting_Table[[#This Row],[prediction]]=Fact_Betting_Table[[#This Row],[away_team]], 0)</f>
        <v>1</v>
      </c>
      <c r="S100" t="str" cm="1">
        <f t="array" ref="S100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100" s="3" t="str">
        <f>IF(Fact_Betting_Table[[#This Row],[Result HomeAway]]="", "", IF(Fact_Betting_Table[[#This Row],[Result HomeAway]]=Fact_Betting_Table[[#This Row],[Prediction HomeAway]],1,0))</f>
        <v/>
      </c>
    </row>
    <row r="101" spans="1:20" x14ac:dyDescent="0.25">
      <c r="A101" s="2">
        <v>46229.670138888891</v>
      </c>
      <c r="B101">
        <v>129992108</v>
      </c>
      <c r="C101" t="s">
        <v>19</v>
      </c>
      <c r="D101" t="s">
        <v>6</v>
      </c>
      <c r="E101">
        <v>0.64999230922917151</v>
      </c>
      <c r="F101">
        <v>0.35000769077082849</v>
      </c>
      <c r="G101" t="s">
        <v>19</v>
      </c>
      <c r="H101" s="2">
        <v>46229.253472222219</v>
      </c>
      <c r="I101">
        <v>2.3199999999999998</v>
      </c>
      <c r="J101">
        <v>1.05</v>
      </c>
      <c r="K101" t="s">
        <v>64</v>
      </c>
      <c r="L101" t="s">
        <v>19</v>
      </c>
      <c r="M101" t="str" cm="1">
        <f t="array" ref="M101">_xlfn.IFS(Fact_Betting_Table[[#This Row],[ev_bet]]=Fact_Betting_Table[[#This Row],[home_team]],"Home",Fact_Betting_Table[[#This Row],[ev_bet]]=Fact_Betting_Table[[#This Row],[away_team]],"Away",Fact_Betting_Table[[#This Row],[ev_bet]]="","")</f>
        <v>Home</v>
      </c>
      <c r="N101" cm="1">
        <f t="array" ref="N101">_xlfn.IFS(Fact_Betting_Table[[#This Row],[Ev HomeAway]]="Home",Fact_Betting_Table[[#This Row],[home_team_odds]],Fact_Betting_Table[[#This Row],[Ev HomeAway]]="Away",Fact_Betting_Table[[#This Row],[away_team_odds]],Fact_Betting_Table[[#This Row],[Ev HomeAway]]="","")</f>
        <v>2.3199999999999998</v>
      </c>
      <c r="P101" t="str">
        <f>IF(Fact_Betting_Table[[#This Row],[B365 Closing Line]]="", "", Fact_Betting_Table[[#This Row],[Bet Line]]/Fact_Betting_Table[[#This Row],[B365 Closing Line]]-1)</f>
        <v/>
      </c>
      <c r="Q101" cm="1">
        <f t="array" ref="Q101">_xlfn.IFS(Fact_Betting_Table[[#This Row],[prediction]]=Fact_Betting_Table[[#This Row],[home_team]], 1, Fact_Betting_Table[[#This Row],[prediction]]=Fact_Betting_Table[[#This Row],[away_team]], 0)</f>
        <v>1</v>
      </c>
      <c r="S101" t="str" cm="1">
        <f t="array" ref="S101">_xlfn.IFS(Fact_Betting_Table[[#This Row],[Result HomeAway]]=1,Fact_Betting_Table[[#This Row],[home_team]],Fact_Betting_Table[[#This Row],[Result HomeAway]]="","",Fact_Betting_Table[[#This Row],[Result HomeAway]]=0,Fact_Betting_Table[[#This Row],[away_team]])</f>
        <v/>
      </c>
      <c r="T101" s="3" t="str">
        <f>IF(Fact_Betting_Table[[#This Row],[Result HomeAway]]="", "", IF(Fact_Betting_Table[[#This Row],[Result HomeAway]]=Fact_Betting_Table[[#This Row],[Prediction HomeAway]],1,0))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1679-0BCC-4EA5-A8A7-AD97B12AC879}">
  <dimension ref="A1:G101"/>
  <sheetViews>
    <sheetView topLeftCell="A5" workbookViewId="0">
      <selection activeCell="K13" sqref="K13"/>
    </sheetView>
  </sheetViews>
  <sheetFormatPr defaultRowHeight="15" x14ac:dyDescent="0.25"/>
  <cols>
    <col min="1" max="1" width="15.85546875" bestFit="1" customWidth="1"/>
    <col min="2" max="2" width="11.42578125" bestFit="1" customWidth="1"/>
    <col min="3" max="3" width="14" bestFit="1" customWidth="1"/>
    <col min="4" max="4" width="13.42578125" bestFit="1" customWidth="1"/>
    <col min="5" max="5" width="18.7109375" bestFit="1" customWidth="1"/>
    <col min="6" max="6" width="18.140625" bestFit="1" customWidth="1"/>
    <col min="7" max="7" width="12.42578125" bestFit="1" customWidth="1"/>
    <col min="8" max="8" width="14" bestFit="1" customWidth="1"/>
    <col min="9" max="9" width="13.42578125" bestFit="1" customWidth="1"/>
    <col min="10" max="10" width="9" bestFit="1" customWidth="1"/>
  </cols>
  <sheetData>
    <row r="1" spans="1:7" x14ac:dyDescent="0.25">
      <c r="A1" t="s">
        <v>1</v>
      </c>
      <c r="B1" t="s">
        <v>0</v>
      </c>
      <c r="C1" t="s">
        <v>3</v>
      </c>
      <c r="D1" t="s">
        <v>2</v>
      </c>
      <c r="E1" t="s">
        <v>54</v>
      </c>
      <c r="F1" t="s">
        <v>55</v>
      </c>
      <c r="G1" t="s">
        <v>56</v>
      </c>
    </row>
    <row r="2" spans="1:7" x14ac:dyDescent="0.25">
      <c r="A2" s="2">
        <v>46135.416666666664</v>
      </c>
      <c r="B2">
        <v>129990801</v>
      </c>
      <c r="C2" t="s">
        <v>5</v>
      </c>
      <c r="D2" t="s">
        <v>4</v>
      </c>
      <c r="E2">
        <v>0.46201175451278698</v>
      </c>
      <c r="F2">
        <v>0.53798824548721302</v>
      </c>
      <c r="G2" t="s">
        <v>4</v>
      </c>
    </row>
    <row r="3" spans="1:7" x14ac:dyDescent="0.25">
      <c r="A3" s="2">
        <v>46136.416666666664</v>
      </c>
      <c r="B3">
        <v>129990802</v>
      </c>
      <c r="C3" t="s">
        <v>7</v>
      </c>
      <c r="D3" t="s">
        <v>6</v>
      </c>
      <c r="E3">
        <v>0.44253998994827298</v>
      </c>
      <c r="F3">
        <v>0.55746001005172696</v>
      </c>
      <c r="G3" t="s">
        <v>6</v>
      </c>
    </row>
    <row r="4" spans="1:7" x14ac:dyDescent="0.25">
      <c r="A4" s="2">
        <v>46136.416666666664</v>
      </c>
      <c r="B4">
        <v>129990803</v>
      </c>
      <c r="C4" t="s">
        <v>9</v>
      </c>
      <c r="D4" t="s">
        <v>8</v>
      </c>
      <c r="E4">
        <v>0.48703813552856401</v>
      </c>
      <c r="F4">
        <v>0.51296186447143599</v>
      </c>
      <c r="G4" t="s">
        <v>8</v>
      </c>
    </row>
    <row r="5" spans="1:7" x14ac:dyDescent="0.25">
      <c r="A5" s="2">
        <v>46137.416666666664</v>
      </c>
      <c r="B5">
        <v>129990804</v>
      </c>
      <c r="C5" t="s">
        <v>11</v>
      </c>
      <c r="D5" t="s">
        <v>10</v>
      </c>
      <c r="E5">
        <v>0.399268448352814</v>
      </c>
      <c r="F5">
        <v>0.60073155164718595</v>
      </c>
      <c r="G5" t="s">
        <v>10</v>
      </c>
    </row>
    <row r="6" spans="1:7" x14ac:dyDescent="0.25">
      <c r="A6" s="2">
        <v>46137.416666666664</v>
      </c>
      <c r="B6">
        <v>129990805</v>
      </c>
      <c r="C6" t="s">
        <v>13</v>
      </c>
      <c r="D6" t="s">
        <v>12</v>
      </c>
      <c r="E6">
        <v>0.68943500518798795</v>
      </c>
      <c r="F6">
        <v>0.310564994812012</v>
      </c>
      <c r="G6" t="s">
        <v>13</v>
      </c>
    </row>
    <row r="7" spans="1:7" x14ac:dyDescent="0.25">
      <c r="A7" s="2">
        <v>46137.416666666664</v>
      </c>
      <c r="B7">
        <v>129990806</v>
      </c>
      <c r="C7" t="s">
        <v>15</v>
      </c>
      <c r="D7" t="s">
        <v>14</v>
      </c>
      <c r="E7">
        <v>0.42627269029617298</v>
      </c>
      <c r="F7">
        <v>0.57372730970382702</v>
      </c>
      <c r="G7" t="s">
        <v>14</v>
      </c>
    </row>
    <row r="8" spans="1:7" x14ac:dyDescent="0.25">
      <c r="A8" s="2">
        <v>46138.416666666664</v>
      </c>
      <c r="B8">
        <v>129990807</v>
      </c>
      <c r="C8" t="s">
        <v>17</v>
      </c>
      <c r="D8" t="s">
        <v>16</v>
      </c>
      <c r="E8">
        <v>0.41327428817749001</v>
      </c>
      <c r="F8">
        <v>0.58672571182250999</v>
      </c>
      <c r="G8" t="s">
        <v>16</v>
      </c>
    </row>
    <row r="9" spans="1:7" x14ac:dyDescent="0.25">
      <c r="A9" s="2">
        <v>46138.416666666664</v>
      </c>
      <c r="B9">
        <v>129990808</v>
      </c>
      <c r="C9" t="s">
        <v>19</v>
      </c>
      <c r="D9" t="s">
        <v>18</v>
      </c>
      <c r="E9">
        <v>0.51558268070220903</v>
      </c>
      <c r="F9">
        <v>0.48441731929779103</v>
      </c>
      <c r="G9" t="s">
        <v>19</v>
      </c>
    </row>
    <row r="10" spans="1:7" x14ac:dyDescent="0.25">
      <c r="A10" s="2">
        <v>46143.416666666664</v>
      </c>
      <c r="B10">
        <v>129990901</v>
      </c>
      <c r="C10" t="s">
        <v>8</v>
      </c>
      <c r="D10" t="s">
        <v>7</v>
      </c>
      <c r="E10">
        <v>0.43192321062088002</v>
      </c>
      <c r="F10">
        <v>0.56807678937911998</v>
      </c>
      <c r="G10" t="s">
        <v>7</v>
      </c>
    </row>
    <row r="11" spans="1:7" x14ac:dyDescent="0.25">
      <c r="A11" s="2">
        <v>46143.416666666664</v>
      </c>
      <c r="B11">
        <v>129990902</v>
      </c>
      <c r="C11" t="s">
        <v>12</v>
      </c>
      <c r="D11" t="s">
        <v>15</v>
      </c>
      <c r="E11">
        <v>0.54520007967948902</v>
      </c>
      <c r="F11">
        <v>0.45479992032051098</v>
      </c>
      <c r="G11" t="s">
        <v>12</v>
      </c>
    </row>
    <row r="12" spans="1:7" x14ac:dyDescent="0.25">
      <c r="A12" s="2">
        <v>46144.416666666664</v>
      </c>
      <c r="B12">
        <v>129990903</v>
      </c>
      <c r="C12" t="s">
        <v>22</v>
      </c>
      <c r="D12" t="s">
        <v>4</v>
      </c>
      <c r="E12">
        <v>0.46796506643295299</v>
      </c>
      <c r="F12">
        <v>0.53203493356704701</v>
      </c>
      <c r="G12" t="s">
        <v>4</v>
      </c>
    </row>
    <row r="13" spans="1:7" x14ac:dyDescent="0.25">
      <c r="A13" s="2">
        <v>46144.416666666664</v>
      </c>
      <c r="B13">
        <v>129990904</v>
      </c>
      <c r="C13" t="s">
        <v>18</v>
      </c>
      <c r="D13" t="s">
        <v>13</v>
      </c>
      <c r="E13">
        <v>0.51314347982406605</v>
      </c>
      <c r="F13">
        <v>0.486856520175934</v>
      </c>
      <c r="G13" t="s">
        <v>18</v>
      </c>
    </row>
    <row r="14" spans="1:7" x14ac:dyDescent="0.25">
      <c r="A14" s="2">
        <v>46144.416666666664</v>
      </c>
      <c r="B14">
        <v>129990905</v>
      </c>
      <c r="C14" t="s">
        <v>10</v>
      </c>
      <c r="D14" t="s">
        <v>9</v>
      </c>
      <c r="E14">
        <v>0.40842109918594399</v>
      </c>
      <c r="F14">
        <v>0.59157890081405595</v>
      </c>
      <c r="G14" t="s">
        <v>9</v>
      </c>
    </row>
    <row r="15" spans="1:7" x14ac:dyDescent="0.25">
      <c r="A15" s="2">
        <v>46145.416666666664</v>
      </c>
      <c r="B15">
        <v>129990906</v>
      </c>
      <c r="C15" t="s">
        <v>17</v>
      </c>
      <c r="D15" t="s">
        <v>14</v>
      </c>
      <c r="E15">
        <v>0.49258524179458602</v>
      </c>
      <c r="F15">
        <v>0.50741475820541404</v>
      </c>
      <c r="G15" t="s">
        <v>14</v>
      </c>
    </row>
    <row r="16" spans="1:7" x14ac:dyDescent="0.25">
      <c r="A16" s="2">
        <v>46145.416666666664</v>
      </c>
      <c r="B16">
        <v>129990907</v>
      </c>
      <c r="C16" t="s">
        <v>6</v>
      </c>
      <c r="D16" t="s">
        <v>5</v>
      </c>
      <c r="E16">
        <v>0.52708521485328697</v>
      </c>
      <c r="F16">
        <v>0.47291478514671298</v>
      </c>
      <c r="G16" t="s">
        <v>6</v>
      </c>
    </row>
    <row r="17" spans="1:7" x14ac:dyDescent="0.25">
      <c r="A17" s="2">
        <v>46145.416666666664</v>
      </c>
      <c r="B17">
        <v>129990908</v>
      </c>
      <c r="C17" t="s">
        <v>16</v>
      </c>
      <c r="D17" t="s">
        <v>19</v>
      </c>
      <c r="E17">
        <v>0.48826622962951699</v>
      </c>
      <c r="F17">
        <v>0.51173377037048295</v>
      </c>
      <c r="G17" t="s">
        <v>19</v>
      </c>
    </row>
    <row r="18" spans="1:7" x14ac:dyDescent="0.25">
      <c r="A18" s="2">
        <v>46149.416666666664</v>
      </c>
      <c r="B18">
        <v>129991001</v>
      </c>
      <c r="C18" t="s">
        <v>12</v>
      </c>
      <c r="D18" t="s">
        <v>8</v>
      </c>
      <c r="E18">
        <v>0.51074704527854897</v>
      </c>
      <c r="F18">
        <v>0.48925295472145103</v>
      </c>
      <c r="G18" t="s">
        <v>12</v>
      </c>
    </row>
    <row r="19" spans="1:7" x14ac:dyDescent="0.25">
      <c r="A19" s="2">
        <v>46150.416666666664</v>
      </c>
      <c r="B19">
        <v>129991002</v>
      </c>
      <c r="C19" t="s">
        <v>10</v>
      </c>
      <c r="D19" t="s">
        <v>22</v>
      </c>
      <c r="E19">
        <v>0.62290695309638999</v>
      </c>
      <c r="F19">
        <v>0.37709304690361001</v>
      </c>
      <c r="G19" t="s">
        <v>10</v>
      </c>
    </row>
    <row r="20" spans="1:7" x14ac:dyDescent="0.25">
      <c r="A20" s="2">
        <v>46150.416666666664</v>
      </c>
      <c r="B20">
        <v>129991003</v>
      </c>
      <c r="C20" t="s">
        <v>7</v>
      </c>
      <c r="D20" t="s">
        <v>18</v>
      </c>
      <c r="E20">
        <v>0.47514605522155801</v>
      </c>
      <c r="F20">
        <v>0.52485394477844205</v>
      </c>
      <c r="G20" t="s">
        <v>18</v>
      </c>
    </row>
    <row r="21" spans="1:7" x14ac:dyDescent="0.25">
      <c r="A21" s="2">
        <v>46151.416666666664</v>
      </c>
      <c r="B21">
        <v>129991004</v>
      </c>
      <c r="C21" t="s">
        <v>11</v>
      </c>
      <c r="D21" t="s">
        <v>17</v>
      </c>
      <c r="E21">
        <v>0.46244102716445901</v>
      </c>
      <c r="F21">
        <v>0.53755897283554099</v>
      </c>
      <c r="G21" t="s">
        <v>17</v>
      </c>
    </row>
    <row r="22" spans="1:7" x14ac:dyDescent="0.25">
      <c r="A22" s="2">
        <v>46151.416666666664</v>
      </c>
      <c r="B22">
        <v>129991005</v>
      </c>
      <c r="C22" t="s">
        <v>14</v>
      </c>
      <c r="D22" t="s">
        <v>6</v>
      </c>
      <c r="E22">
        <v>0.53827929496765103</v>
      </c>
      <c r="F22">
        <v>0.46172070503234902</v>
      </c>
      <c r="G22" t="s">
        <v>14</v>
      </c>
    </row>
    <row r="23" spans="1:7" x14ac:dyDescent="0.25">
      <c r="A23" s="2">
        <v>46151.416666666664</v>
      </c>
      <c r="B23">
        <v>129991006</v>
      </c>
      <c r="C23" t="s">
        <v>19</v>
      </c>
      <c r="D23" t="s">
        <v>9</v>
      </c>
      <c r="E23">
        <v>0.41448318958282498</v>
      </c>
      <c r="F23">
        <v>0.58551681041717496</v>
      </c>
      <c r="G23" t="s">
        <v>9</v>
      </c>
    </row>
    <row r="24" spans="1:7" x14ac:dyDescent="0.25">
      <c r="A24" s="2">
        <v>46152.416666666664</v>
      </c>
      <c r="B24">
        <v>129991007</v>
      </c>
      <c r="C24" t="s">
        <v>15</v>
      </c>
      <c r="D24" t="s">
        <v>5</v>
      </c>
      <c r="E24">
        <v>0.52475470304489102</v>
      </c>
      <c r="F24">
        <v>0.47524529695510898</v>
      </c>
      <c r="G24" t="s">
        <v>15</v>
      </c>
    </row>
    <row r="25" spans="1:7" x14ac:dyDescent="0.25">
      <c r="A25" s="2">
        <v>46152.416666666664</v>
      </c>
      <c r="B25">
        <v>129991008</v>
      </c>
      <c r="C25" t="s">
        <v>4</v>
      </c>
      <c r="D25" t="s">
        <v>16</v>
      </c>
      <c r="E25">
        <v>0.49045950174331698</v>
      </c>
      <c r="F25">
        <v>0.50954049825668302</v>
      </c>
      <c r="G25" t="s">
        <v>16</v>
      </c>
    </row>
    <row r="26" spans="1:7" x14ac:dyDescent="0.25">
      <c r="A26" s="2">
        <v>46157.416666666664</v>
      </c>
      <c r="B26">
        <v>129991101</v>
      </c>
      <c r="C26" t="s">
        <v>6</v>
      </c>
      <c r="D26" t="s">
        <v>8</v>
      </c>
      <c r="E26">
        <v>0.584493428468704</v>
      </c>
      <c r="F26">
        <v>0.415506571531296</v>
      </c>
      <c r="G26" t="s">
        <v>6</v>
      </c>
    </row>
    <row r="27" spans="1:7" x14ac:dyDescent="0.25">
      <c r="A27" s="2">
        <v>46157.416666666664</v>
      </c>
      <c r="B27">
        <v>129991102</v>
      </c>
      <c r="C27" t="s">
        <v>14</v>
      </c>
      <c r="D27" t="s">
        <v>12</v>
      </c>
      <c r="E27">
        <v>0.57210445404052701</v>
      </c>
      <c r="F27">
        <v>0.42789554595947299</v>
      </c>
      <c r="G27" t="s">
        <v>14</v>
      </c>
    </row>
    <row r="28" spans="1:7" x14ac:dyDescent="0.25">
      <c r="A28" s="2">
        <v>46158.416666666664</v>
      </c>
      <c r="B28">
        <v>129991103</v>
      </c>
      <c r="C28" t="s">
        <v>5</v>
      </c>
      <c r="D28" t="s">
        <v>19</v>
      </c>
      <c r="E28">
        <v>0.47613638639450101</v>
      </c>
      <c r="F28">
        <v>0.52386361360549905</v>
      </c>
      <c r="G28" t="s">
        <v>19</v>
      </c>
    </row>
    <row r="29" spans="1:7" x14ac:dyDescent="0.25">
      <c r="A29" s="2">
        <v>46158.416666666664</v>
      </c>
      <c r="B29">
        <v>129991104</v>
      </c>
      <c r="C29" t="s">
        <v>10</v>
      </c>
      <c r="D29" t="s">
        <v>7</v>
      </c>
      <c r="E29">
        <v>0.52142664790153503</v>
      </c>
      <c r="F29">
        <v>0.47857335209846502</v>
      </c>
      <c r="G29" t="s">
        <v>10</v>
      </c>
    </row>
    <row r="30" spans="1:7" x14ac:dyDescent="0.25">
      <c r="A30" s="2">
        <v>46158.416666666664</v>
      </c>
      <c r="B30">
        <v>129991105</v>
      </c>
      <c r="C30" t="s">
        <v>18</v>
      </c>
      <c r="D30" t="s">
        <v>15</v>
      </c>
      <c r="E30">
        <v>0.511417716741562</v>
      </c>
      <c r="F30">
        <v>0.488582283258438</v>
      </c>
      <c r="G30" t="s">
        <v>18</v>
      </c>
    </row>
    <row r="31" spans="1:7" x14ac:dyDescent="0.25">
      <c r="A31" s="2">
        <v>46159.416666666664</v>
      </c>
      <c r="B31">
        <v>129991106</v>
      </c>
      <c r="C31" t="s">
        <v>22</v>
      </c>
      <c r="D31" t="s">
        <v>17</v>
      </c>
      <c r="E31">
        <v>0.441200911998749</v>
      </c>
      <c r="F31">
        <v>0.558799088001251</v>
      </c>
      <c r="G31" t="s">
        <v>17</v>
      </c>
    </row>
    <row r="32" spans="1:7" x14ac:dyDescent="0.25">
      <c r="A32" s="2">
        <v>46159.416666666664</v>
      </c>
      <c r="B32">
        <v>129991107</v>
      </c>
      <c r="C32" t="s">
        <v>13</v>
      </c>
      <c r="D32" t="s">
        <v>9</v>
      </c>
      <c r="E32">
        <v>0.36237198114395103</v>
      </c>
      <c r="F32">
        <v>0.63762801885604903</v>
      </c>
      <c r="G32" t="s">
        <v>9</v>
      </c>
    </row>
    <row r="33" spans="1:7" x14ac:dyDescent="0.25">
      <c r="A33" s="2">
        <v>46159.416666666664</v>
      </c>
      <c r="B33">
        <v>129991108</v>
      </c>
      <c r="C33" t="s">
        <v>16</v>
      </c>
      <c r="D33" t="s">
        <v>11</v>
      </c>
      <c r="E33">
        <v>0.540525883436203</v>
      </c>
      <c r="F33">
        <v>0.459474116563797</v>
      </c>
      <c r="G33" t="s">
        <v>16</v>
      </c>
    </row>
    <row r="34" spans="1:7" x14ac:dyDescent="0.25">
      <c r="A34" s="2">
        <v>46163.416666666664</v>
      </c>
      <c r="B34">
        <v>129991201</v>
      </c>
      <c r="C34" t="s">
        <v>4</v>
      </c>
      <c r="D34" t="s">
        <v>12</v>
      </c>
      <c r="E34">
        <v>0.44810938835143999</v>
      </c>
      <c r="F34">
        <v>0.55189061164856001</v>
      </c>
      <c r="G34" t="s">
        <v>12</v>
      </c>
    </row>
    <row r="35" spans="1:7" x14ac:dyDescent="0.25">
      <c r="A35" s="2">
        <v>46164.416666666664</v>
      </c>
      <c r="B35">
        <v>129991202</v>
      </c>
      <c r="C35" t="s">
        <v>8</v>
      </c>
      <c r="D35" t="s">
        <v>15</v>
      </c>
      <c r="E35">
        <v>0.51166483759880099</v>
      </c>
      <c r="F35">
        <v>0.48833516240119901</v>
      </c>
      <c r="G35" t="s">
        <v>8</v>
      </c>
    </row>
    <row r="36" spans="1:7" x14ac:dyDescent="0.25">
      <c r="A36" s="2">
        <v>46165.416666666664</v>
      </c>
      <c r="B36">
        <v>129991203</v>
      </c>
      <c r="C36" t="s">
        <v>11</v>
      </c>
      <c r="D36" t="s">
        <v>13</v>
      </c>
      <c r="E36">
        <v>0.47292482852935802</v>
      </c>
      <c r="F36">
        <v>0.52707517147064198</v>
      </c>
      <c r="G36" t="s">
        <v>13</v>
      </c>
    </row>
    <row r="37" spans="1:7" x14ac:dyDescent="0.25">
      <c r="A37" s="2">
        <v>46165.416666666664</v>
      </c>
      <c r="B37">
        <v>129991204</v>
      </c>
      <c r="C37" t="s">
        <v>19</v>
      </c>
      <c r="D37" t="s">
        <v>22</v>
      </c>
      <c r="E37">
        <v>0.56811690330505404</v>
      </c>
      <c r="F37">
        <v>0.43188309669494601</v>
      </c>
      <c r="G37" t="s">
        <v>19</v>
      </c>
    </row>
    <row r="38" spans="1:7" x14ac:dyDescent="0.25">
      <c r="A38" s="2">
        <v>46166.416666666664</v>
      </c>
      <c r="B38">
        <v>129991205</v>
      </c>
      <c r="C38" t="s">
        <v>7</v>
      </c>
      <c r="D38" t="s">
        <v>14</v>
      </c>
      <c r="E38">
        <v>0.48554360866546598</v>
      </c>
      <c r="F38">
        <v>0.51445639133453402</v>
      </c>
      <c r="G38" t="s">
        <v>14</v>
      </c>
    </row>
    <row r="39" spans="1:7" x14ac:dyDescent="0.25">
      <c r="A39" s="2">
        <v>46171.416666666664</v>
      </c>
      <c r="B39">
        <v>129991301</v>
      </c>
      <c r="C39" t="s">
        <v>6</v>
      </c>
      <c r="D39" t="s">
        <v>19</v>
      </c>
      <c r="E39">
        <v>0.56846743822097801</v>
      </c>
      <c r="F39">
        <v>0.43153256177902199</v>
      </c>
      <c r="G39" t="s">
        <v>6</v>
      </c>
    </row>
    <row r="40" spans="1:7" x14ac:dyDescent="0.25">
      <c r="A40" s="2">
        <v>46172.416666666664</v>
      </c>
      <c r="B40">
        <v>129991302</v>
      </c>
      <c r="C40" t="s">
        <v>17</v>
      </c>
      <c r="D40" t="s">
        <v>18</v>
      </c>
      <c r="E40">
        <v>0.37015575170517001</v>
      </c>
      <c r="F40">
        <v>0.62984424829482999</v>
      </c>
      <c r="G40" t="s">
        <v>18</v>
      </c>
    </row>
    <row r="41" spans="1:7" x14ac:dyDescent="0.25">
      <c r="A41" s="2">
        <v>46172.416666666664</v>
      </c>
      <c r="B41">
        <v>129991303</v>
      </c>
      <c r="C41" t="s">
        <v>5</v>
      </c>
      <c r="D41" t="s">
        <v>8</v>
      </c>
      <c r="E41">
        <v>0.48810619115829501</v>
      </c>
      <c r="F41">
        <v>0.51189380884170499</v>
      </c>
      <c r="G41" t="s">
        <v>8</v>
      </c>
    </row>
    <row r="42" spans="1:7" x14ac:dyDescent="0.25">
      <c r="A42" s="2">
        <v>46172.416666666664</v>
      </c>
      <c r="B42">
        <v>129991304</v>
      </c>
      <c r="C42" t="s">
        <v>15</v>
      </c>
      <c r="D42" t="s">
        <v>10</v>
      </c>
      <c r="E42">
        <v>0.50573775172233604</v>
      </c>
      <c r="F42">
        <v>0.49426224827766402</v>
      </c>
      <c r="G42" t="s">
        <v>15</v>
      </c>
    </row>
    <row r="43" spans="1:7" x14ac:dyDescent="0.25">
      <c r="A43" s="2">
        <v>46173.416666666664</v>
      </c>
      <c r="B43">
        <v>129991305</v>
      </c>
      <c r="C43" t="s">
        <v>9</v>
      </c>
      <c r="D43" t="s">
        <v>11</v>
      </c>
      <c r="E43">
        <v>0.54041472077369701</v>
      </c>
      <c r="F43">
        <v>0.45958527922630299</v>
      </c>
      <c r="G43" t="s">
        <v>9</v>
      </c>
    </row>
    <row r="44" spans="1:7" x14ac:dyDescent="0.25">
      <c r="A44" s="2">
        <v>46173.416666666664</v>
      </c>
      <c r="B44">
        <v>129991306</v>
      </c>
      <c r="C44" t="s">
        <v>4</v>
      </c>
      <c r="D44" t="s">
        <v>7</v>
      </c>
      <c r="E44">
        <v>0.51928183436393704</v>
      </c>
      <c r="F44">
        <v>0.48071816563606301</v>
      </c>
      <c r="G44" t="s">
        <v>4</v>
      </c>
    </row>
    <row r="45" spans="1:7" x14ac:dyDescent="0.25">
      <c r="A45" s="2">
        <v>46173.416666666664</v>
      </c>
      <c r="B45">
        <v>129991307</v>
      </c>
      <c r="C45" t="s">
        <v>16</v>
      </c>
      <c r="D45" t="s">
        <v>13</v>
      </c>
      <c r="E45">
        <v>0.48409497737884499</v>
      </c>
      <c r="F45">
        <v>0.51590502262115501</v>
      </c>
      <c r="G45" t="s">
        <v>13</v>
      </c>
    </row>
    <row r="46" spans="1:7" x14ac:dyDescent="0.25">
      <c r="A46" s="2">
        <v>46178.243055555555</v>
      </c>
      <c r="B46">
        <v>129991401</v>
      </c>
      <c r="C46" t="s">
        <v>19</v>
      </c>
      <c r="D46" t="s">
        <v>14</v>
      </c>
      <c r="E46">
        <v>0.59766173362731934</v>
      </c>
      <c r="F46">
        <v>0.40233826637268066</v>
      </c>
      <c r="G46" t="s">
        <v>19</v>
      </c>
    </row>
    <row r="47" spans="1:7" x14ac:dyDescent="0.25">
      <c r="A47" s="2">
        <v>46179.166666666664</v>
      </c>
      <c r="B47">
        <v>129991402</v>
      </c>
      <c r="C47" t="s">
        <v>15</v>
      </c>
      <c r="D47" t="s">
        <v>17</v>
      </c>
      <c r="E47">
        <v>0.57940277457237244</v>
      </c>
      <c r="F47">
        <v>0.42059722542762751</v>
      </c>
      <c r="G47" t="s">
        <v>15</v>
      </c>
    </row>
    <row r="48" spans="1:7" x14ac:dyDescent="0.25">
      <c r="A48" s="2">
        <v>46179.25</v>
      </c>
      <c r="B48">
        <v>129991403</v>
      </c>
      <c r="C48" t="s">
        <v>4</v>
      </c>
      <c r="D48" t="s">
        <v>10</v>
      </c>
      <c r="E48">
        <v>0.50649139285087585</v>
      </c>
      <c r="F48">
        <v>0.49350860714912415</v>
      </c>
      <c r="G48" t="s">
        <v>4</v>
      </c>
    </row>
    <row r="49" spans="1:7" x14ac:dyDescent="0.25">
      <c r="A49" s="2">
        <v>46180.145833333336</v>
      </c>
      <c r="B49">
        <v>129991404</v>
      </c>
      <c r="C49" t="s">
        <v>7</v>
      </c>
      <c r="D49" t="s">
        <v>12</v>
      </c>
      <c r="E49">
        <v>0.53681030869483948</v>
      </c>
      <c r="F49">
        <v>0.46318969130516052</v>
      </c>
      <c r="G49" t="s">
        <v>7</v>
      </c>
    </row>
    <row r="50" spans="1:7" x14ac:dyDescent="0.25">
      <c r="A50" s="2">
        <v>46180.232638888891</v>
      </c>
      <c r="B50">
        <v>129991405</v>
      </c>
      <c r="C50" t="s">
        <v>9</v>
      </c>
      <c r="D50" t="s">
        <v>22</v>
      </c>
      <c r="E50">
        <v>0.63772726058959961</v>
      </c>
      <c r="F50">
        <v>0.36227273941040039</v>
      </c>
      <c r="G50" t="s">
        <v>9</v>
      </c>
    </row>
    <row r="51" spans="1:7" x14ac:dyDescent="0.25">
      <c r="A51" s="2">
        <v>46181</v>
      </c>
      <c r="B51">
        <v>129991406</v>
      </c>
      <c r="C51" t="s">
        <v>5</v>
      </c>
      <c r="D51" t="s">
        <v>16</v>
      </c>
      <c r="E51">
        <v>0.41144484281539923</v>
      </c>
      <c r="F51">
        <v>0.58855515718460083</v>
      </c>
      <c r="G51" t="s">
        <v>16</v>
      </c>
    </row>
    <row r="52" spans="1:7" x14ac:dyDescent="0.25">
      <c r="A52" s="2">
        <v>46181.086805555555</v>
      </c>
      <c r="B52">
        <v>129991407</v>
      </c>
      <c r="C52" t="s">
        <v>6</v>
      </c>
      <c r="D52" t="s">
        <v>11</v>
      </c>
      <c r="E52">
        <v>0.61903604865074158</v>
      </c>
      <c r="F52">
        <v>0.38096395134925842</v>
      </c>
      <c r="G52" t="s">
        <v>6</v>
      </c>
    </row>
    <row r="53" spans="1:7" x14ac:dyDescent="0.25">
      <c r="A53" s="2">
        <v>46182.086805555555</v>
      </c>
      <c r="B53">
        <v>129991408</v>
      </c>
      <c r="C53" t="s">
        <v>8</v>
      </c>
      <c r="D53" t="s">
        <v>18</v>
      </c>
      <c r="E53">
        <v>0.63365265727043152</v>
      </c>
      <c r="F53">
        <v>0.36634734272956848</v>
      </c>
      <c r="G53" t="s">
        <v>8</v>
      </c>
    </row>
    <row r="54" spans="1:7" x14ac:dyDescent="0.25">
      <c r="A54" s="2">
        <v>46185.243055555555</v>
      </c>
      <c r="B54">
        <v>129991501</v>
      </c>
      <c r="C54" t="s">
        <v>14</v>
      </c>
      <c r="D54" t="s">
        <v>9</v>
      </c>
      <c r="E54">
        <v>0.59799617528915405</v>
      </c>
      <c r="F54">
        <v>0.40200382471084595</v>
      </c>
      <c r="G54" t="s">
        <v>14</v>
      </c>
    </row>
    <row r="55" spans="1:7" x14ac:dyDescent="0.25">
      <c r="A55" s="2">
        <v>46186.25</v>
      </c>
      <c r="B55">
        <v>129991502</v>
      </c>
      <c r="C55" t="s">
        <v>12</v>
      </c>
      <c r="D55" t="s">
        <v>10</v>
      </c>
      <c r="E55">
        <v>0.55398476123809814</v>
      </c>
      <c r="F55">
        <v>0.44601523876190186</v>
      </c>
      <c r="G55" t="s">
        <v>12</v>
      </c>
    </row>
    <row r="56" spans="1:7" x14ac:dyDescent="0.25">
      <c r="A56" s="2">
        <v>46187.229166666664</v>
      </c>
      <c r="B56">
        <v>129991503</v>
      </c>
      <c r="C56" t="s">
        <v>13</v>
      </c>
      <c r="D56" t="s">
        <v>6</v>
      </c>
      <c r="E56">
        <v>0.60755982995033264</v>
      </c>
      <c r="F56">
        <v>0.39244017004966736</v>
      </c>
      <c r="G56" t="s">
        <v>13</v>
      </c>
    </row>
    <row r="57" spans="1:7" x14ac:dyDescent="0.25">
      <c r="A57" s="2">
        <v>46187.232638888891</v>
      </c>
      <c r="B57">
        <v>129991504</v>
      </c>
      <c r="C57" t="s">
        <v>18</v>
      </c>
      <c r="D57" t="s">
        <v>4</v>
      </c>
      <c r="E57">
        <v>0.52611693739891052</v>
      </c>
      <c r="F57">
        <v>0.47388306260108948</v>
      </c>
      <c r="G57" t="s">
        <v>18</v>
      </c>
    </row>
    <row r="58" spans="1:7" x14ac:dyDescent="0.25">
      <c r="A58" s="2">
        <v>46188.086805555555</v>
      </c>
      <c r="B58">
        <v>129991505</v>
      </c>
      <c r="C58" t="s">
        <v>5</v>
      </c>
      <c r="D58" t="s">
        <v>22</v>
      </c>
      <c r="E58">
        <v>0.59577968716621399</v>
      </c>
      <c r="F58">
        <v>0.40422031283378601</v>
      </c>
      <c r="G58" t="s">
        <v>5</v>
      </c>
    </row>
    <row r="59" spans="1:7" x14ac:dyDescent="0.25">
      <c r="A59" s="2">
        <v>46193.25</v>
      </c>
      <c r="B59">
        <v>129991601</v>
      </c>
      <c r="C59" t="s">
        <v>17</v>
      </c>
      <c r="D59" t="s">
        <v>11</v>
      </c>
      <c r="E59">
        <v>0.67483717203140259</v>
      </c>
      <c r="F59">
        <v>0.32516282796859741</v>
      </c>
      <c r="G59" t="s">
        <v>17</v>
      </c>
    </row>
    <row r="60" spans="1:7" x14ac:dyDescent="0.25">
      <c r="A60" s="2">
        <v>46194.041666666664</v>
      </c>
      <c r="B60">
        <v>129991602</v>
      </c>
      <c r="C60" t="s">
        <v>5</v>
      </c>
      <c r="D60" t="s">
        <v>12</v>
      </c>
      <c r="E60">
        <v>0.41398513317108154</v>
      </c>
      <c r="F60">
        <v>0.58601486682891846</v>
      </c>
      <c r="G60" t="s">
        <v>12</v>
      </c>
    </row>
    <row r="61" spans="1:7" x14ac:dyDescent="0.25">
      <c r="A61" s="2">
        <v>46194.145833333336</v>
      </c>
      <c r="B61">
        <v>129991603</v>
      </c>
      <c r="C61" t="s">
        <v>22</v>
      </c>
      <c r="D61" t="s">
        <v>16</v>
      </c>
      <c r="E61">
        <v>0.40118533372879028</v>
      </c>
      <c r="F61">
        <v>0.59881466627120972</v>
      </c>
      <c r="G61" t="s">
        <v>16</v>
      </c>
    </row>
    <row r="62" spans="1:7" x14ac:dyDescent="0.25">
      <c r="A62" s="2">
        <v>46194.232638888891</v>
      </c>
      <c r="B62">
        <v>129991604</v>
      </c>
      <c r="C62" t="s">
        <v>8</v>
      </c>
      <c r="D62" t="s">
        <v>19</v>
      </c>
      <c r="E62">
        <v>0.46303683519363398</v>
      </c>
      <c r="F62">
        <v>0.53696316480636597</v>
      </c>
      <c r="G62" t="s">
        <v>19</v>
      </c>
    </row>
    <row r="63" spans="1:7" x14ac:dyDescent="0.25">
      <c r="A63" s="2">
        <v>46195.083333333336</v>
      </c>
      <c r="B63">
        <v>129991605</v>
      </c>
      <c r="C63" t="s">
        <v>13</v>
      </c>
      <c r="D63" t="s">
        <v>7</v>
      </c>
      <c r="E63">
        <v>0.68182942271232605</v>
      </c>
      <c r="F63">
        <v>0.31817057728767395</v>
      </c>
      <c r="G63" t="s">
        <v>13</v>
      </c>
    </row>
    <row r="64" spans="1:7" x14ac:dyDescent="0.25">
      <c r="A64" s="2">
        <v>46195.086805555555</v>
      </c>
      <c r="B64">
        <v>129991606</v>
      </c>
      <c r="C64" t="s">
        <v>15</v>
      </c>
      <c r="D64" t="s">
        <v>4</v>
      </c>
      <c r="E64">
        <v>0.65282973647117615</v>
      </c>
      <c r="F64">
        <v>0.34717026352882385</v>
      </c>
      <c r="G64" t="s">
        <v>15</v>
      </c>
    </row>
    <row r="65" spans="1:7" x14ac:dyDescent="0.25">
      <c r="A65" s="2">
        <v>46195.177083333336</v>
      </c>
      <c r="B65">
        <v>129991607</v>
      </c>
      <c r="C65" t="s">
        <v>10</v>
      </c>
      <c r="D65" t="s">
        <v>6</v>
      </c>
      <c r="E65">
        <v>0.60503038763999939</v>
      </c>
      <c r="F65">
        <v>0.39496961236000061</v>
      </c>
      <c r="G65" t="s">
        <v>10</v>
      </c>
    </row>
    <row r="66" spans="1:7" x14ac:dyDescent="0.25">
      <c r="A66" s="2">
        <v>46199.243055555555</v>
      </c>
      <c r="B66">
        <v>129991701</v>
      </c>
      <c r="C66" t="s">
        <v>18</v>
      </c>
      <c r="D66" t="s">
        <v>14</v>
      </c>
      <c r="E66">
        <v>0.52822080254554749</v>
      </c>
      <c r="F66">
        <v>0.47177919745445251</v>
      </c>
      <c r="G66" t="s">
        <v>18</v>
      </c>
    </row>
    <row r="67" spans="1:7" x14ac:dyDescent="0.25">
      <c r="A67" s="2">
        <v>46200.166666666664</v>
      </c>
      <c r="B67">
        <v>129991702</v>
      </c>
      <c r="C67" t="s">
        <v>22</v>
      </c>
      <c r="D67" t="s">
        <v>8</v>
      </c>
      <c r="E67">
        <v>0.48157763481140137</v>
      </c>
      <c r="F67">
        <v>0.51842236518859863</v>
      </c>
      <c r="G67" t="s">
        <v>8</v>
      </c>
    </row>
    <row r="68" spans="1:7" x14ac:dyDescent="0.25">
      <c r="A68" s="2">
        <v>46200.25</v>
      </c>
      <c r="B68">
        <v>129991703</v>
      </c>
      <c r="C68" t="s">
        <v>9</v>
      </c>
      <c r="D68" t="s">
        <v>10</v>
      </c>
      <c r="E68">
        <v>0.47297066450119019</v>
      </c>
      <c r="F68">
        <v>0.52702933549880981</v>
      </c>
      <c r="G68" t="s">
        <v>10</v>
      </c>
    </row>
    <row r="69" spans="1:7" x14ac:dyDescent="0.25">
      <c r="A69" s="2">
        <v>46201.041666666664</v>
      </c>
      <c r="B69">
        <v>129991704</v>
      </c>
      <c r="C69" t="s">
        <v>12</v>
      </c>
      <c r="D69" t="s">
        <v>13</v>
      </c>
      <c r="E69">
        <v>0.55373856425285339</v>
      </c>
      <c r="F69">
        <v>0.44626143574714661</v>
      </c>
      <c r="G69" t="s">
        <v>12</v>
      </c>
    </row>
    <row r="70" spans="1:7" x14ac:dyDescent="0.25">
      <c r="A70" s="2">
        <v>46201.145833333336</v>
      </c>
      <c r="B70">
        <v>129991705</v>
      </c>
      <c r="C70" t="s">
        <v>7</v>
      </c>
      <c r="D70" t="s">
        <v>16</v>
      </c>
      <c r="E70">
        <v>0.42577558755874634</v>
      </c>
      <c r="F70">
        <v>0.57422441244125366</v>
      </c>
      <c r="G70" t="s">
        <v>16</v>
      </c>
    </row>
    <row r="71" spans="1:7" x14ac:dyDescent="0.25">
      <c r="A71" s="2">
        <v>46201.229166666664</v>
      </c>
      <c r="B71">
        <v>129991706</v>
      </c>
      <c r="C71" t="s">
        <v>19</v>
      </c>
      <c r="D71" t="s">
        <v>15</v>
      </c>
      <c r="E71">
        <v>0.59705853462219238</v>
      </c>
      <c r="F71">
        <v>0.40294146537780762</v>
      </c>
      <c r="G71" t="s">
        <v>19</v>
      </c>
    </row>
    <row r="72" spans="1:7" x14ac:dyDescent="0.25">
      <c r="A72" s="2">
        <v>46202</v>
      </c>
      <c r="B72">
        <v>129991707</v>
      </c>
      <c r="C72" t="s">
        <v>4</v>
      </c>
      <c r="D72" t="s">
        <v>11</v>
      </c>
      <c r="E72">
        <v>0.66450875997543335</v>
      </c>
      <c r="F72">
        <v>0.33549124002456665</v>
      </c>
      <c r="G72" t="s">
        <v>4</v>
      </c>
    </row>
    <row r="73" spans="1:7" x14ac:dyDescent="0.25">
      <c r="A73" s="2">
        <v>46202.086805555555</v>
      </c>
      <c r="B73">
        <v>129991708</v>
      </c>
      <c r="C73" t="s">
        <v>17</v>
      </c>
      <c r="D73" t="s">
        <v>5</v>
      </c>
      <c r="E73">
        <v>0.67632308602333069</v>
      </c>
      <c r="F73">
        <v>0.32367691397666931</v>
      </c>
      <c r="G73" t="s">
        <v>17</v>
      </c>
    </row>
    <row r="74" spans="1:7" x14ac:dyDescent="0.25">
      <c r="A74" s="2">
        <v>46207.25</v>
      </c>
      <c r="B74">
        <v>129991801</v>
      </c>
      <c r="C74" t="s">
        <v>16</v>
      </c>
      <c r="D74" t="s">
        <v>14</v>
      </c>
      <c r="E74">
        <v>0.68617856502532959</v>
      </c>
      <c r="F74">
        <v>0.31382143497467041</v>
      </c>
      <c r="G74" t="s">
        <v>16</v>
      </c>
    </row>
    <row r="75" spans="1:7" x14ac:dyDescent="0.25">
      <c r="A75" s="2">
        <v>46208.145833333336</v>
      </c>
      <c r="B75">
        <v>129991802</v>
      </c>
      <c r="C75" t="s">
        <v>11</v>
      </c>
      <c r="D75" t="s">
        <v>5</v>
      </c>
      <c r="E75">
        <v>0.41309702396392822</v>
      </c>
      <c r="F75">
        <v>0.58690297603607178</v>
      </c>
      <c r="G75" t="s">
        <v>5</v>
      </c>
    </row>
    <row r="76" spans="1:7" x14ac:dyDescent="0.25">
      <c r="A76" s="2">
        <v>46208.232638888891</v>
      </c>
      <c r="B76">
        <v>129991803</v>
      </c>
      <c r="C76" t="s">
        <v>9</v>
      </c>
      <c r="D76" t="s">
        <v>6</v>
      </c>
      <c r="E76">
        <v>0.25542253255844116</v>
      </c>
      <c r="F76">
        <v>0.74457746744155884</v>
      </c>
      <c r="G76" t="s">
        <v>6</v>
      </c>
    </row>
    <row r="77" spans="1:7" x14ac:dyDescent="0.25">
      <c r="A77" s="2">
        <v>46209</v>
      </c>
      <c r="B77">
        <v>129991804</v>
      </c>
      <c r="C77" t="s">
        <v>18</v>
      </c>
      <c r="D77" t="s">
        <v>19</v>
      </c>
      <c r="E77">
        <v>0.28004425764083862</v>
      </c>
      <c r="F77">
        <v>0.71995574235916138</v>
      </c>
      <c r="G77" t="s">
        <v>19</v>
      </c>
    </row>
    <row r="78" spans="1:7" x14ac:dyDescent="0.25">
      <c r="A78" s="2">
        <v>46209.086805555555</v>
      </c>
      <c r="B78">
        <v>129991805</v>
      </c>
      <c r="C78" t="s">
        <v>17</v>
      </c>
      <c r="D78" t="s">
        <v>12</v>
      </c>
      <c r="E78">
        <v>0.37190854549407959</v>
      </c>
      <c r="F78">
        <v>0.62809145450592041</v>
      </c>
      <c r="G78" t="s">
        <v>12</v>
      </c>
    </row>
    <row r="79" spans="1:7" x14ac:dyDescent="0.25">
      <c r="A79" s="2">
        <v>46214.25</v>
      </c>
      <c r="B79">
        <v>129991901</v>
      </c>
      <c r="C79" t="s">
        <v>5</v>
      </c>
      <c r="D79" t="s">
        <v>13</v>
      </c>
      <c r="E79">
        <v>0.25917381048202515</v>
      </c>
      <c r="F79">
        <v>0.74082618951797485</v>
      </c>
      <c r="G79" t="s">
        <v>13</v>
      </c>
    </row>
    <row r="80" spans="1:7" x14ac:dyDescent="0.25">
      <c r="A80" s="2">
        <v>46215.041666666664</v>
      </c>
      <c r="B80">
        <v>129991902</v>
      </c>
      <c r="C80" t="s">
        <v>12</v>
      </c>
      <c r="D80" t="s">
        <v>6</v>
      </c>
      <c r="E80">
        <v>0.55579107999801636</v>
      </c>
      <c r="F80">
        <v>0.44420892000198364</v>
      </c>
      <c r="G80" t="s">
        <v>12</v>
      </c>
    </row>
    <row r="81" spans="1:7" x14ac:dyDescent="0.25">
      <c r="A81" s="2">
        <v>46215.145833333336</v>
      </c>
      <c r="B81">
        <v>129991903</v>
      </c>
      <c r="C81" t="s">
        <v>8</v>
      </c>
      <c r="D81" t="s">
        <v>4</v>
      </c>
      <c r="E81">
        <v>0.69911041855812073</v>
      </c>
      <c r="F81">
        <v>0.30088958144187927</v>
      </c>
      <c r="G81" t="s">
        <v>8</v>
      </c>
    </row>
    <row r="82" spans="1:7" x14ac:dyDescent="0.25">
      <c r="A82" s="2">
        <v>46215.232638888891</v>
      </c>
      <c r="B82">
        <v>129991904</v>
      </c>
      <c r="C82" t="s">
        <v>10</v>
      </c>
      <c r="D82" t="s">
        <v>18</v>
      </c>
      <c r="E82">
        <v>0.79425004124641418</v>
      </c>
      <c r="F82">
        <v>0.20574995875358582</v>
      </c>
      <c r="G82" t="s">
        <v>10</v>
      </c>
    </row>
    <row r="83" spans="1:7" x14ac:dyDescent="0.25">
      <c r="A83" s="2">
        <v>46216</v>
      </c>
      <c r="B83">
        <v>129991905</v>
      </c>
      <c r="C83" t="s">
        <v>14</v>
      </c>
      <c r="D83" t="s">
        <v>17</v>
      </c>
      <c r="E83">
        <v>0.46959245204925537</v>
      </c>
      <c r="F83">
        <v>0.53040754795074463</v>
      </c>
      <c r="G83" t="s">
        <v>17</v>
      </c>
    </row>
    <row r="84" spans="1:7" x14ac:dyDescent="0.25">
      <c r="A84" s="2">
        <v>46216.086805555555</v>
      </c>
      <c r="B84">
        <v>129991906</v>
      </c>
      <c r="C84" t="s">
        <v>19</v>
      </c>
      <c r="D84" t="s">
        <v>7</v>
      </c>
      <c r="E84">
        <v>0.68997159600257874</v>
      </c>
      <c r="F84">
        <v>0.31002840399742126</v>
      </c>
      <c r="G84" t="s">
        <v>19</v>
      </c>
    </row>
    <row r="85" spans="1:7" x14ac:dyDescent="0.25">
      <c r="A85" s="2">
        <v>46216.177083333336</v>
      </c>
      <c r="B85">
        <v>129991907</v>
      </c>
      <c r="C85" t="s">
        <v>15</v>
      </c>
      <c r="D85" t="s">
        <v>22</v>
      </c>
      <c r="E85">
        <v>0.72323930263519287</v>
      </c>
      <c r="F85">
        <v>0.27676069736480713</v>
      </c>
      <c r="G85" t="s">
        <v>15</v>
      </c>
    </row>
    <row r="86" spans="1:7" x14ac:dyDescent="0.25">
      <c r="A86" s="2">
        <v>46219.826388888891</v>
      </c>
      <c r="B86">
        <v>129992001</v>
      </c>
      <c r="C86" t="s">
        <v>16</v>
      </c>
      <c r="D86" t="s">
        <v>9</v>
      </c>
      <c r="E86">
        <v>0.89923866893232407</v>
      </c>
      <c r="F86">
        <v>0.10076133106767593</v>
      </c>
      <c r="G86" t="s">
        <v>16</v>
      </c>
    </row>
    <row r="87" spans="1:7" x14ac:dyDescent="0.25">
      <c r="A87" s="2">
        <v>46220.75</v>
      </c>
      <c r="B87">
        <v>129992002</v>
      </c>
      <c r="C87" t="s">
        <v>6</v>
      </c>
      <c r="D87" t="s">
        <v>17</v>
      </c>
      <c r="E87">
        <v>0.71187864739941131</v>
      </c>
      <c r="F87">
        <v>0.28812135260058869</v>
      </c>
      <c r="G87" t="s">
        <v>6</v>
      </c>
    </row>
    <row r="88" spans="1:7" x14ac:dyDescent="0.25">
      <c r="A88" s="2">
        <v>46220.833333333336</v>
      </c>
      <c r="B88">
        <v>129992003</v>
      </c>
      <c r="C88" t="s">
        <v>10</v>
      </c>
      <c r="D88" t="s">
        <v>15</v>
      </c>
      <c r="E88">
        <v>0.64916962359578501</v>
      </c>
      <c r="F88">
        <v>0.35083037640421499</v>
      </c>
      <c r="G88" t="s">
        <v>10</v>
      </c>
    </row>
    <row r="89" spans="1:7" x14ac:dyDescent="0.25">
      <c r="A89" s="2">
        <v>46221.625</v>
      </c>
      <c r="B89">
        <v>129992004</v>
      </c>
      <c r="C89" t="s">
        <v>4</v>
      </c>
      <c r="D89" t="s">
        <v>14</v>
      </c>
      <c r="E89">
        <v>0.5600968494704589</v>
      </c>
      <c r="F89">
        <v>0.4399031505295411</v>
      </c>
      <c r="G89" t="s">
        <v>4</v>
      </c>
    </row>
    <row r="90" spans="1:7" x14ac:dyDescent="0.25">
      <c r="A90" s="2">
        <v>46221.815972222219</v>
      </c>
      <c r="B90">
        <v>129992005</v>
      </c>
      <c r="C90" t="s">
        <v>13</v>
      </c>
      <c r="D90" t="s">
        <v>11</v>
      </c>
      <c r="E90">
        <v>0.86883937575685943</v>
      </c>
      <c r="F90">
        <v>0.13116062424314057</v>
      </c>
      <c r="G90" t="s">
        <v>13</v>
      </c>
    </row>
    <row r="91" spans="1:7" x14ac:dyDescent="0.25">
      <c r="A91" s="2">
        <v>46221.815972222219</v>
      </c>
      <c r="B91">
        <v>129992006</v>
      </c>
      <c r="C91" t="s">
        <v>8</v>
      </c>
      <c r="D91" t="s">
        <v>5</v>
      </c>
      <c r="E91">
        <v>0.75891877957924203</v>
      </c>
      <c r="F91">
        <v>0.24108122042075797</v>
      </c>
      <c r="G91" t="s">
        <v>8</v>
      </c>
    </row>
    <row r="92" spans="1:7" x14ac:dyDescent="0.25">
      <c r="A92" s="2">
        <v>46222.583333333336</v>
      </c>
      <c r="B92">
        <v>129992007</v>
      </c>
      <c r="C92" t="s">
        <v>22</v>
      </c>
      <c r="D92" t="s">
        <v>19</v>
      </c>
      <c r="E92">
        <v>0.21201484902770462</v>
      </c>
      <c r="F92">
        <v>0.78798515097229538</v>
      </c>
      <c r="G92" t="s">
        <v>19</v>
      </c>
    </row>
    <row r="93" spans="1:7" x14ac:dyDescent="0.25">
      <c r="A93" s="2">
        <v>46222.670138888891</v>
      </c>
      <c r="B93">
        <v>129992008</v>
      </c>
      <c r="C93" t="s">
        <v>12</v>
      </c>
      <c r="D93" t="s">
        <v>7</v>
      </c>
      <c r="E93">
        <v>0.68190535749025871</v>
      </c>
      <c r="F93">
        <v>0.31809464250974129</v>
      </c>
      <c r="G93" t="s">
        <v>12</v>
      </c>
    </row>
    <row r="94" spans="1:7" x14ac:dyDescent="0.25">
      <c r="A94" s="2">
        <v>46226.826388888891</v>
      </c>
      <c r="B94">
        <v>129992101</v>
      </c>
      <c r="C94" t="s">
        <v>18</v>
      </c>
      <c r="D94" t="s">
        <v>16</v>
      </c>
      <c r="E94">
        <v>0.15125704769332993</v>
      </c>
      <c r="F94">
        <v>0.84874295230667007</v>
      </c>
      <c r="G94" t="s">
        <v>16</v>
      </c>
    </row>
    <row r="95" spans="1:7" x14ac:dyDescent="0.25">
      <c r="A95" s="2">
        <v>46227.75</v>
      </c>
      <c r="B95">
        <v>129992102</v>
      </c>
      <c r="C95" t="s">
        <v>17</v>
      </c>
      <c r="D95" t="s">
        <v>10</v>
      </c>
      <c r="E95">
        <v>0.3791435362590983</v>
      </c>
      <c r="F95">
        <v>0.62085646374090175</v>
      </c>
      <c r="G95" t="s">
        <v>10</v>
      </c>
    </row>
    <row r="96" spans="1:7" x14ac:dyDescent="0.25">
      <c r="A96" s="2">
        <v>46227.833333333336</v>
      </c>
      <c r="B96">
        <v>129992103</v>
      </c>
      <c r="C96" t="s">
        <v>14</v>
      </c>
      <c r="D96" t="s">
        <v>15</v>
      </c>
      <c r="E96">
        <v>0.48475499947467121</v>
      </c>
      <c r="F96">
        <v>0.51524500052532884</v>
      </c>
      <c r="G96" t="s">
        <v>15</v>
      </c>
    </row>
    <row r="97" spans="1:7" x14ac:dyDescent="0.25">
      <c r="A97" s="2">
        <v>46228.625</v>
      </c>
      <c r="B97">
        <v>129992104</v>
      </c>
      <c r="C97" t="s">
        <v>4</v>
      </c>
      <c r="D97" t="s">
        <v>5</v>
      </c>
      <c r="E97">
        <v>0.72209360940724432</v>
      </c>
      <c r="F97">
        <v>0.27790639059275568</v>
      </c>
      <c r="G97" t="s">
        <v>4</v>
      </c>
    </row>
    <row r="98" spans="1:7" x14ac:dyDescent="0.25">
      <c r="A98" s="2">
        <v>46228.729166666664</v>
      </c>
      <c r="B98">
        <v>129992105</v>
      </c>
      <c r="C98" t="s">
        <v>8</v>
      </c>
      <c r="D98" t="s">
        <v>13</v>
      </c>
      <c r="E98">
        <v>0.43201187149951964</v>
      </c>
      <c r="F98">
        <v>0.56798812850048042</v>
      </c>
      <c r="G98" t="s">
        <v>13</v>
      </c>
    </row>
    <row r="99" spans="1:7" x14ac:dyDescent="0.25">
      <c r="A99" s="2">
        <v>46228.8125</v>
      </c>
      <c r="B99">
        <v>129992106</v>
      </c>
      <c r="C99" t="s">
        <v>7</v>
      </c>
      <c r="D99" t="s">
        <v>9</v>
      </c>
      <c r="E99">
        <v>0.74102898489529689</v>
      </c>
      <c r="F99">
        <v>0.25897101510470311</v>
      </c>
      <c r="G99" t="s">
        <v>7</v>
      </c>
    </row>
    <row r="100" spans="1:7" x14ac:dyDescent="0.25">
      <c r="A100" s="2">
        <v>46229.583333333336</v>
      </c>
      <c r="B100">
        <v>129992107</v>
      </c>
      <c r="C100" t="s">
        <v>11</v>
      </c>
      <c r="D100" t="s">
        <v>22</v>
      </c>
      <c r="E100">
        <v>0.58020035928997526</v>
      </c>
      <c r="F100">
        <v>0.41979964071002474</v>
      </c>
      <c r="G100" t="s">
        <v>11</v>
      </c>
    </row>
    <row r="101" spans="1:7" x14ac:dyDescent="0.25">
      <c r="A101" s="2">
        <v>46229.670138888891</v>
      </c>
      <c r="B101">
        <v>129992108</v>
      </c>
      <c r="C101" t="s">
        <v>19</v>
      </c>
      <c r="D101" t="s">
        <v>6</v>
      </c>
      <c r="E101">
        <v>0.64999230922917151</v>
      </c>
      <c r="F101">
        <v>0.35000769077082849</v>
      </c>
      <c r="G101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1C8-A486-425F-9AA1-D185004531E9}">
  <dimension ref="A1:I837"/>
  <sheetViews>
    <sheetView topLeftCell="A111" workbookViewId="0"/>
  </sheetViews>
  <sheetFormatPr defaultRowHeight="15" x14ac:dyDescent="0.25"/>
  <cols>
    <col min="1" max="1" width="11.42578125" bestFit="1" customWidth="1"/>
    <col min="2" max="2" width="18.28515625" bestFit="1" customWidth="1"/>
    <col min="3" max="3" width="14" bestFit="1" customWidth="1"/>
    <col min="4" max="4" width="13.42578125" bestFit="1" customWidth="1"/>
    <col min="5" max="5" width="14.140625" bestFit="1" customWidth="1"/>
    <col min="6" max="6" width="9.5703125" bestFit="1" customWidth="1"/>
    <col min="7" max="7" width="19.5703125" bestFit="1" customWidth="1"/>
    <col min="8" max="8" width="18.85546875" bestFit="1" customWidth="1"/>
    <col min="9" max="9" width="15.85546875" bestFit="1" customWidth="1"/>
    <col min="10" max="10" width="14" bestFit="1" customWidth="1"/>
    <col min="11" max="11" width="12.42578125" bestFit="1" customWidth="1"/>
    <col min="12" max="12" width="12.85546875" bestFit="1" customWidth="1"/>
  </cols>
  <sheetData>
    <row r="1" spans="1:9" x14ac:dyDescent="0.25">
      <c r="A1" t="s">
        <v>0</v>
      </c>
      <c r="B1" t="s">
        <v>57</v>
      </c>
      <c r="C1" t="s">
        <v>3</v>
      </c>
      <c r="D1" t="s">
        <v>2</v>
      </c>
      <c r="E1" t="s">
        <v>44</v>
      </c>
      <c r="F1" t="s">
        <v>68</v>
      </c>
      <c r="G1" t="s">
        <v>58</v>
      </c>
      <c r="H1" t="s">
        <v>59</v>
      </c>
      <c r="I1" t="s">
        <v>48</v>
      </c>
    </row>
    <row r="2" spans="1:9" x14ac:dyDescent="0.25">
      <c r="A2">
        <v>129991901</v>
      </c>
      <c r="B2" s="2">
        <v>46213.833333333336</v>
      </c>
      <c r="C2" t="s">
        <v>5</v>
      </c>
      <c r="D2" t="s">
        <v>13</v>
      </c>
      <c r="E2" t="s">
        <v>61</v>
      </c>
      <c r="F2" t="s">
        <v>69</v>
      </c>
      <c r="G2">
        <v>3.11</v>
      </c>
      <c r="H2">
        <v>1.37</v>
      </c>
      <c r="I2" s="2">
        <v>46212.895150462966</v>
      </c>
    </row>
    <row r="3" spans="1:9" x14ac:dyDescent="0.25">
      <c r="A3">
        <v>129991901</v>
      </c>
      <c r="B3" s="2">
        <v>46213.833333333336</v>
      </c>
      <c r="C3" t="s">
        <v>5</v>
      </c>
      <c r="D3" t="s">
        <v>13</v>
      </c>
      <c r="E3" t="s">
        <v>65</v>
      </c>
      <c r="F3" t="s">
        <v>69</v>
      </c>
      <c r="G3">
        <v>3.1</v>
      </c>
      <c r="H3">
        <v>1.36</v>
      </c>
      <c r="I3" s="2">
        <v>46212.895335648151</v>
      </c>
    </row>
    <row r="4" spans="1:9" x14ac:dyDescent="0.25">
      <c r="A4">
        <v>129991901</v>
      </c>
      <c r="B4" s="2">
        <v>46213.833333333336</v>
      </c>
      <c r="C4" t="s">
        <v>5</v>
      </c>
      <c r="D4" t="s">
        <v>13</v>
      </c>
      <c r="E4" t="s">
        <v>70</v>
      </c>
      <c r="F4" t="s">
        <v>69</v>
      </c>
      <c r="G4">
        <v>3.1</v>
      </c>
      <c r="H4">
        <v>1.36</v>
      </c>
      <c r="I4" s="2">
        <v>46212.895173611112</v>
      </c>
    </row>
    <row r="5" spans="1:9" x14ac:dyDescent="0.25">
      <c r="A5">
        <v>129991901</v>
      </c>
      <c r="B5" s="2">
        <v>46213.833333333336</v>
      </c>
      <c r="C5" t="s">
        <v>5</v>
      </c>
      <c r="D5" t="s">
        <v>13</v>
      </c>
      <c r="E5" t="s">
        <v>67</v>
      </c>
      <c r="F5" t="s">
        <v>69</v>
      </c>
      <c r="G5">
        <v>3.1</v>
      </c>
      <c r="H5">
        <v>1.36</v>
      </c>
      <c r="I5" s="2">
        <v>46212.894930555558</v>
      </c>
    </row>
    <row r="6" spans="1:9" x14ac:dyDescent="0.25">
      <c r="A6">
        <v>129991901</v>
      </c>
      <c r="B6" s="2">
        <v>46213.833333333336</v>
      </c>
      <c r="C6" t="s">
        <v>5</v>
      </c>
      <c r="D6" t="s">
        <v>13</v>
      </c>
      <c r="E6" t="s">
        <v>62</v>
      </c>
      <c r="F6" t="s">
        <v>69</v>
      </c>
      <c r="G6">
        <v>3</v>
      </c>
      <c r="H6">
        <v>1.4</v>
      </c>
      <c r="I6" s="2">
        <v>46212.894328703704</v>
      </c>
    </row>
    <row r="7" spans="1:9" x14ac:dyDescent="0.25">
      <c r="A7">
        <v>129991901</v>
      </c>
      <c r="B7" s="2">
        <v>46213.833333333336</v>
      </c>
      <c r="C7" t="s">
        <v>5</v>
      </c>
      <c r="D7" t="s">
        <v>13</v>
      </c>
      <c r="E7" t="s">
        <v>64</v>
      </c>
      <c r="F7" t="s">
        <v>69</v>
      </c>
      <c r="G7">
        <v>3.3</v>
      </c>
      <c r="H7">
        <v>1.42</v>
      </c>
      <c r="I7" s="2">
        <v>46212.895567129628</v>
      </c>
    </row>
    <row r="8" spans="1:9" x14ac:dyDescent="0.25">
      <c r="A8">
        <v>129991901</v>
      </c>
      <c r="B8" s="2">
        <v>46213.833333333336</v>
      </c>
      <c r="C8" t="s">
        <v>5</v>
      </c>
      <c r="D8" t="s">
        <v>13</v>
      </c>
      <c r="E8" t="s">
        <v>71</v>
      </c>
      <c r="F8" t="s">
        <v>69</v>
      </c>
      <c r="G8">
        <v>2.95</v>
      </c>
      <c r="H8">
        <v>1.4</v>
      </c>
      <c r="I8" s="2">
        <v>46212.895162037035</v>
      </c>
    </row>
    <row r="9" spans="1:9" x14ac:dyDescent="0.25">
      <c r="A9">
        <v>129991901</v>
      </c>
      <c r="B9" s="2">
        <v>46213.833333333336</v>
      </c>
      <c r="C9" t="s">
        <v>5</v>
      </c>
      <c r="D9" t="s">
        <v>13</v>
      </c>
      <c r="E9" t="s">
        <v>66</v>
      </c>
      <c r="F9" t="s">
        <v>69</v>
      </c>
      <c r="G9">
        <v>3.05</v>
      </c>
      <c r="H9">
        <v>1.38</v>
      </c>
      <c r="I9" s="2">
        <v>46212.894918981481</v>
      </c>
    </row>
    <row r="10" spans="1:9" x14ac:dyDescent="0.25">
      <c r="A10">
        <v>129991901</v>
      </c>
      <c r="B10" s="2">
        <v>46213.833333333336</v>
      </c>
      <c r="C10" t="s">
        <v>5</v>
      </c>
      <c r="D10" t="s">
        <v>13</v>
      </c>
      <c r="E10" t="s">
        <v>72</v>
      </c>
      <c r="F10" t="s">
        <v>69</v>
      </c>
      <c r="G10">
        <v>3.05</v>
      </c>
      <c r="H10">
        <v>1.38</v>
      </c>
      <c r="I10" s="2">
        <v>46212.895162037035</v>
      </c>
    </row>
    <row r="11" spans="1:9" x14ac:dyDescent="0.25">
      <c r="A11">
        <v>129991901</v>
      </c>
      <c r="B11" s="2">
        <v>46213.833333333336</v>
      </c>
      <c r="C11" t="s">
        <v>5</v>
      </c>
      <c r="D11" t="s">
        <v>13</v>
      </c>
      <c r="E11" t="s">
        <v>73</v>
      </c>
      <c r="F11" t="s">
        <v>69</v>
      </c>
      <c r="G11">
        <v>3.05</v>
      </c>
      <c r="H11">
        <v>1.37</v>
      </c>
      <c r="I11" s="2">
        <v>46212.895150462966</v>
      </c>
    </row>
    <row r="12" spans="1:9" x14ac:dyDescent="0.25">
      <c r="A12">
        <v>129991901</v>
      </c>
      <c r="B12" s="2">
        <v>46213.833333333336</v>
      </c>
      <c r="C12" t="s">
        <v>5</v>
      </c>
      <c r="D12" t="s">
        <v>13</v>
      </c>
      <c r="E12" t="s">
        <v>63</v>
      </c>
      <c r="F12" t="s">
        <v>69</v>
      </c>
      <c r="G12">
        <v>3.15</v>
      </c>
      <c r="H12">
        <v>1.35</v>
      </c>
      <c r="I12" s="2">
        <v>46212.895162037035</v>
      </c>
    </row>
    <row r="13" spans="1:9" x14ac:dyDescent="0.25">
      <c r="A13">
        <v>129991902</v>
      </c>
      <c r="B13" s="2">
        <v>46214.625</v>
      </c>
      <c r="C13" t="s">
        <v>12</v>
      </c>
      <c r="D13" t="s">
        <v>6</v>
      </c>
      <c r="E13" t="s">
        <v>61</v>
      </c>
      <c r="F13" t="s">
        <v>69</v>
      </c>
      <c r="G13">
        <v>1.56</v>
      </c>
      <c r="H13">
        <v>2.44</v>
      </c>
      <c r="I13" s="2">
        <v>46212.895150462966</v>
      </c>
    </row>
    <row r="14" spans="1:9" x14ac:dyDescent="0.25">
      <c r="A14">
        <v>129991902</v>
      </c>
      <c r="B14" s="2">
        <v>46214.625</v>
      </c>
      <c r="C14" t="s">
        <v>12</v>
      </c>
      <c r="D14" t="s">
        <v>6</v>
      </c>
      <c r="E14" t="s">
        <v>65</v>
      </c>
      <c r="F14" t="s">
        <v>69</v>
      </c>
      <c r="G14">
        <v>1.55</v>
      </c>
      <c r="H14">
        <v>2.5</v>
      </c>
      <c r="I14" s="2">
        <v>46212.895335648151</v>
      </c>
    </row>
    <row r="15" spans="1:9" x14ac:dyDescent="0.25">
      <c r="A15">
        <v>129991902</v>
      </c>
      <c r="B15" s="2">
        <v>46214.625</v>
      </c>
      <c r="C15" t="s">
        <v>12</v>
      </c>
      <c r="D15" t="s">
        <v>6</v>
      </c>
      <c r="E15" t="s">
        <v>70</v>
      </c>
      <c r="F15" t="s">
        <v>69</v>
      </c>
      <c r="G15">
        <v>1.55</v>
      </c>
      <c r="H15">
        <v>2.5</v>
      </c>
      <c r="I15" s="2">
        <v>46212.895173611112</v>
      </c>
    </row>
    <row r="16" spans="1:9" x14ac:dyDescent="0.25">
      <c r="A16">
        <v>129991902</v>
      </c>
      <c r="B16" s="2">
        <v>46214.625</v>
      </c>
      <c r="C16" t="s">
        <v>12</v>
      </c>
      <c r="D16" t="s">
        <v>6</v>
      </c>
      <c r="E16" t="s">
        <v>67</v>
      </c>
      <c r="F16" t="s">
        <v>69</v>
      </c>
      <c r="G16">
        <v>1.55</v>
      </c>
      <c r="H16">
        <v>2.4</v>
      </c>
      <c r="I16" s="2">
        <v>46212.894930555558</v>
      </c>
    </row>
    <row r="17" spans="1:9" x14ac:dyDescent="0.25">
      <c r="A17">
        <v>129991902</v>
      </c>
      <c r="B17" s="2">
        <v>46214.625</v>
      </c>
      <c r="C17" t="s">
        <v>12</v>
      </c>
      <c r="D17" t="s">
        <v>6</v>
      </c>
      <c r="E17" t="s">
        <v>62</v>
      </c>
      <c r="F17" t="s">
        <v>69</v>
      </c>
      <c r="G17">
        <v>1.53</v>
      </c>
      <c r="H17">
        <v>2.4</v>
      </c>
      <c r="I17" s="2">
        <v>46212.894328703704</v>
      </c>
    </row>
    <row r="18" spans="1:9" x14ac:dyDescent="0.25">
      <c r="A18">
        <v>129991902</v>
      </c>
      <c r="B18" s="2">
        <v>46214.625</v>
      </c>
      <c r="C18" t="s">
        <v>12</v>
      </c>
      <c r="D18" t="s">
        <v>6</v>
      </c>
      <c r="E18" t="s">
        <v>64</v>
      </c>
      <c r="F18" t="s">
        <v>69</v>
      </c>
      <c r="G18">
        <v>1.51</v>
      </c>
      <c r="H18">
        <v>2.42</v>
      </c>
      <c r="I18" s="2">
        <v>46212.895567129628</v>
      </c>
    </row>
    <row r="19" spans="1:9" x14ac:dyDescent="0.25">
      <c r="A19">
        <v>129991902</v>
      </c>
      <c r="B19" s="2">
        <v>46214.625</v>
      </c>
      <c r="C19" t="s">
        <v>12</v>
      </c>
      <c r="D19" t="s">
        <v>6</v>
      </c>
      <c r="E19" t="s">
        <v>71</v>
      </c>
      <c r="F19" t="s">
        <v>69</v>
      </c>
      <c r="G19">
        <v>1.53</v>
      </c>
      <c r="H19">
        <v>2.5</v>
      </c>
      <c r="I19" s="2">
        <v>46212.895162037035</v>
      </c>
    </row>
    <row r="20" spans="1:9" x14ac:dyDescent="0.25">
      <c r="A20">
        <v>129991902</v>
      </c>
      <c r="B20" s="2">
        <v>46214.625</v>
      </c>
      <c r="C20" t="s">
        <v>12</v>
      </c>
      <c r="D20" t="s">
        <v>6</v>
      </c>
      <c r="E20" t="s">
        <v>66</v>
      </c>
      <c r="F20" t="s">
        <v>69</v>
      </c>
      <c r="G20">
        <v>1.55</v>
      </c>
      <c r="H20">
        <v>2.4500000000000002</v>
      </c>
      <c r="I20" s="2">
        <v>46212.894918981481</v>
      </c>
    </row>
    <row r="21" spans="1:9" x14ac:dyDescent="0.25">
      <c r="A21">
        <v>129991902</v>
      </c>
      <c r="B21" s="2">
        <v>46214.625</v>
      </c>
      <c r="C21" t="s">
        <v>12</v>
      </c>
      <c r="D21" t="s">
        <v>6</v>
      </c>
      <c r="E21" t="s">
        <v>72</v>
      </c>
      <c r="F21" t="s">
        <v>69</v>
      </c>
      <c r="G21">
        <v>1.56</v>
      </c>
      <c r="H21">
        <v>2.4300000000000002</v>
      </c>
      <c r="I21" s="2">
        <v>46212.895162037035</v>
      </c>
    </row>
    <row r="22" spans="1:9" x14ac:dyDescent="0.25">
      <c r="A22">
        <v>129991902</v>
      </c>
      <c r="B22" s="2">
        <v>46214.625</v>
      </c>
      <c r="C22" t="s">
        <v>12</v>
      </c>
      <c r="D22" t="s">
        <v>6</v>
      </c>
      <c r="E22" t="s">
        <v>73</v>
      </c>
      <c r="F22" t="s">
        <v>69</v>
      </c>
      <c r="G22">
        <v>1.55</v>
      </c>
      <c r="H22">
        <v>2.4300000000000002</v>
      </c>
      <c r="I22" s="2">
        <v>46212.895150462966</v>
      </c>
    </row>
    <row r="23" spans="1:9" x14ac:dyDescent="0.25">
      <c r="A23">
        <v>129991902</v>
      </c>
      <c r="B23" s="2">
        <v>46214.625</v>
      </c>
      <c r="C23" t="s">
        <v>12</v>
      </c>
      <c r="D23" t="s">
        <v>6</v>
      </c>
      <c r="E23" t="s">
        <v>63</v>
      </c>
      <c r="F23" t="s">
        <v>69</v>
      </c>
      <c r="G23">
        <v>1.55</v>
      </c>
      <c r="H23">
        <v>2.4500000000000002</v>
      </c>
      <c r="I23" s="2">
        <v>46212.895162037035</v>
      </c>
    </row>
    <row r="24" spans="1:9" x14ac:dyDescent="0.25">
      <c r="A24">
        <v>129991903</v>
      </c>
      <c r="B24" s="2">
        <v>46214.729166666664</v>
      </c>
      <c r="C24" t="s">
        <v>8</v>
      </c>
      <c r="D24" t="s">
        <v>4</v>
      </c>
      <c r="E24" t="s">
        <v>61</v>
      </c>
      <c r="F24" t="s">
        <v>69</v>
      </c>
      <c r="G24">
        <v>1.55</v>
      </c>
      <c r="H24">
        <v>2.4700000000000002</v>
      </c>
      <c r="I24" s="2">
        <v>46212.895150462966</v>
      </c>
    </row>
    <row r="25" spans="1:9" x14ac:dyDescent="0.25">
      <c r="A25">
        <v>129991903</v>
      </c>
      <c r="B25" s="2">
        <v>46214.729166666664</v>
      </c>
      <c r="C25" t="s">
        <v>8</v>
      </c>
      <c r="D25" t="s">
        <v>4</v>
      </c>
      <c r="E25" t="s">
        <v>65</v>
      </c>
      <c r="F25" t="s">
        <v>69</v>
      </c>
      <c r="G25">
        <v>1.55</v>
      </c>
      <c r="H25">
        <v>2.4500000000000002</v>
      </c>
      <c r="I25" s="2">
        <v>46212.895335648151</v>
      </c>
    </row>
    <row r="26" spans="1:9" x14ac:dyDescent="0.25">
      <c r="A26">
        <v>129991903</v>
      </c>
      <c r="B26" s="2">
        <v>46214.729166666664</v>
      </c>
      <c r="C26" t="s">
        <v>8</v>
      </c>
      <c r="D26" t="s">
        <v>4</v>
      </c>
      <c r="E26" t="s">
        <v>70</v>
      </c>
      <c r="F26" t="s">
        <v>69</v>
      </c>
      <c r="G26">
        <v>1.55</v>
      </c>
      <c r="H26">
        <v>2.4500000000000002</v>
      </c>
      <c r="I26" s="2">
        <v>46212.895173611112</v>
      </c>
    </row>
    <row r="27" spans="1:9" x14ac:dyDescent="0.25">
      <c r="A27">
        <v>129991903</v>
      </c>
      <c r="B27" s="2">
        <v>46214.729166666664</v>
      </c>
      <c r="C27" t="s">
        <v>8</v>
      </c>
      <c r="D27" t="s">
        <v>4</v>
      </c>
      <c r="E27" t="s">
        <v>67</v>
      </c>
      <c r="F27" t="s">
        <v>69</v>
      </c>
      <c r="G27">
        <v>1.6</v>
      </c>
      <c r="H27">
        <v>2.2999999999999998</v>
      </c>
      <c r="I27" s="2">
        <v>46212.894930555558</v>
      </c>
    </row>
    <row r="28" spans="1:9" x14ac:dyDescent="0.25">
      <c r="A28">
        <v>129991903</v>
      </c>
      <c r="B28" s="2">
        <v>46214.729166666664</v>
      </c>
      <c r="C28" t="s">
        <v>8</v>
      </c>
      <c r="D28" t="s">
        <v>4</v>
      </c>
      <c r="E28" t="s">
        <v>62</v>
      </c>
      <c r="F28" t="s">
        <v>69</v>
      </c>
      <c r="G28">
        <v>1.6</v>
      </c>
      <c r="H28">
        <v>2.35</v>
      </c>
      <c r="I28" s="2">
        <v>46212.894328703704</v>
      </c>
    </row>
    <row r="29" spans="1:9" x14ac:dyDescent="0.25">
      <c r="A29">
        <v>129991903</v>
      </c>
      <c r="B29" s="2">
        <v>46214.729166666664</v>
      </c>
      <c r="C29" t="s">
        <v>8</v>
      </c>
      <c r="D29" t="s">
        <v>4</v>
      </c>
      <c r="E29" t="s">
        <v>64</v>
      </c>
      <c r="F29" t="s">
        <v>69</v>
      </c>
      <c r="G29">
        <v>1.59</v>
      </c>
      <c r="H29">
        <v>1.02</v>
      </c>
      <c r="I29" s="2">
        <v>46212.895567129628</v>
      </c>
    </row>
    <row r="30" spans="1:9" x14ac:dyDescent="0.25">
      <c r="A30">
        <v>129991903</v>
      </c>
      <c r="B30" s="2">
        <v>46214.729166666664</v>
      </c>
      <c r="C30" t="s">
        <v>8</v>
      </c>
      <c r="D30" t="s">
        <v>4</v>
      </c>
      <c r="E30" t="s">
        <v>71</v>
      </c>
      <c r="F30" t="s">
        <v>69</v>
      </c>
      <c r="G30">
        <v>1.6</v>
      </c>
      <c r="H30">
        <v>2.35</v>
      </c>
      <c r="I30" s="2">
        <v>46212.895162037035</v>
      </c>
    </row>
    <row r="31" spans="1:9" x14ac:dyDescent="0.25">
      <c r="A31">
        <v>129991903</v>
      </c>
      <c r="B31" s="2">
        <v>46214.729166666664</v>
      </c>
      <c r="C31" t="s">
        <v>8</v>
      </c>
      <c r="D31" t="s">
        <v>4</v>
      </c>
      <c r="E31" t="s">
        <v>66</v>
      </c>
      <c r="F31" t="s">
        <v>69</v>
      </c>
      <c r="G31">
        <v>1.62</v>
      </c>
      <c r="H31">
        <v>2.2999999999999998</v>
      </c>
      <c r="I31" s="2">
        <v>46212.894918981481</v>
      </c>
    </row>
    <row r="32" spans="1:9" x14ac:dyDescent="0.25">
      <c r="A32">
        <v>129991903</v>
      </c>
      <c r="B32" s="2">
        <v>46214.729166666664</v>
      </c>
      <c r="C32" t="s">
        <v>8</v>
      </c>
      <c r="D32" t="s">
        <v>4</v>
      </c>
      <c r="E32" t="s">
        <v>72</v>
      </c>
      <c r="F32" t="s">
        <v>69</v>
      </c>
      <c r="G32">
        <v>1.6</v>
      </c>
      <c r="H32">
        <v>2.35</v>
      </c>
      <c r="I32" s="2">
        <v>46212.895162037035</v>
      </c>
    </row>
    <row r="33" spans="1:9" x14ac:dyDescent="0.25">
      <c r="A33">
        <v>129991903</v>
      </c>
      <c r="B33" s="2">
        <v>46214.729166666664</v>
      </c>
      <c r="C33" t="s">
        <v>8</v>
      </c>
      <c r="D33" t="s">
        <v>4</v>
      </c>
      <c r="E33" t="s">
        <v>73</v>
      </c>
      <c r="F33" t="s">
        <v>69</v>
      </c>
      <c r="G33">
        <v>1.58</v>
      </c>
      <c r="H33">
        <v>2.33</v>
      </c>
      <c r="I33" s="2">
        <v>46212.895150462966</v>
      </c>
    </row>
    <row r="34" spans="1:9" x14ac:dyDescent="0.25">
      <c r="A34">
        <v>129991903</v>
      </c>
      <c r="B34" s="2">
        <v>46214.729166666664</v>
      </c>
      <c r="C34" t="s">
        <v>8</v>
      </c>
      <c r="D34" t="s">
        <v>4</v>
      </c>
      <c r="E34" t="s">
        <v>63</v>
      </c>
      <c r="F34" t="s">
        <v>69</v>
      </c>
      <c r="G34">
        <v>1.6</v>
      </c>
      <c r="H34">
        <v>2.35</v>
      </c>
      <c r="I34" s="2">
        <v>46212.895162037035</v>
      </c>
    </row>
    <row r="35" spans="1:9" x14ac:dyDescent="0.25">
      <c r="A35">
        <v>129991904</v>
      </c>
      <c r="B35" s="2">
        <v>46214.815972222219</v>
      </c>
      <c r="C35" t="s">
        <v>10</v>
      </c>
      <c r="D35" t="s">
        <v>18</v>
      </c>
      <c r="E35" t="s">
        <v>61</v>
      </c>
      <c r="F35" t="s">
        <v>69</v>
      </c>
      <c r="G35">
        <v>1.3</v>
      </c>
      <c r="H35">
        <v>3.5</v>
      </c>
      <c r="I35" s="2">
        <v>46212.895150462966</v>
      </c>
    </row>
    <row r="36" spans="1:9" x14ac:dyDescent="0.25">
      <c r="A36">
        <v>129991904</v>
      </c>
      <c r="B36" s="2">
        <v>46214.815972222219</v>
      </c>
      <c r="C36" t="s">
        <v>10</v>
      </c>
      <c r="D36" t="s">
        <v>18</v>
      </c>
      <c r="E36" t="s">
        <v>65</v>
      </c>
      <c r="F36" t="s">
        <v>69</v>
      </c>
      <c r="G36">
        <v>1.3</v>
      </c>
      <c r="H36">
        <v>3.6</v>
      </c>
      <c r="I36" s="2">
        <v>46212.895335648151</v>
      </c>
    </row>
    <row r="37" spans="1:9" x14ac:dyDescent="0.25">
      <c r="A37">
        <v>129991904</v>
      </c>
      <c r="B37" s="2">
        <v>46214.815972222219</v>
      </c>
      <c r="C37" t="s">
        <v>10</v>
      </c>
      <c r="D37" t="s">
        <v>18</v>
      </c>
      <c r="E37" t="s">
        <v>70</v>
      </c>
      <c r="F37" t="s">
        <v>69</v>
      </c>
      <c r="G37">
        <v>1.3</v>
      </c>
      <c r="H37">
        <v>3.6</v>
      </c>
      <c r="I37" s="2">
        <v>46212.895173611112</v>
      </c>
    </row>
    <row r="38" spans="1:9" x14ac:dyDescent="0.25">
      <c r="A38">
        <v>129991904</v>
      </c>
      <c r="B38" s="2">
        <v>46214.815972222219</v>
      </c>
      <c r="C38" t="s">
        <v>10</v>
      </c>
      <c r="D38" t="s">
        <v>18</v>
      </c>
      <c r="E38" t="s">
        <v>67</v>
      </c>
      <c r="F38" t="s">
        <v>69</v>
      </c>
      <c r="G38">
        <v>1.3</v>
      </c>
      <c r="H38">
        <v>3.4</v>
      </c>
      <c r="I38" s="2">
        <v>46212.894930555558</v>
      </c>
    </row>
    <row r="39" spans="1:9" x14ac:dyDescent="0.25">
      <c r="A39">
        <v>129991904</v>
      </c>
      <c r="B39" s="2">
        <v>46214.815972222219</v>
      </c>
      <c r="C39" t="s">
        <v>10</v>
      </c>
      <c r="D39" t="s">
        <v>18</v>
      </c>
      <c r="E39" t="s">
        <v>62</v>
      </c>
      <c r="F39" t="s">
        <v>69</v>
      </c>
      <c r="G39">
        <v>1.27</v>
      </c>
      <c r="H39">
        <v>3.5</v>
      </c>
      <c r="I39" s="2">
        <v>46212.894328703704</v>
      </c>
    </row>
    <row r="40" spans="1:9" x14ac:dyDescent="0.25">
      <c r="A40">
        <v>129991904</v>
      </c>
      <c r="B40" s="2">
        <v>46214.815972222219</v>
      </c>
      <c r="C40" t="s">
        <v>10</v>
      </c>
      <c r="D40" t="s">
        <v>18</v>
      </c>
      <c r="E40" t="s">
        <v>64</v>
      </c>
      <c r="F40" t="s">
        <v>69</v>
      </c>
      <c r="G40">
        <v>1.22</v>
      </c>
      <c r="H40">
        <v>3</v>
      </c>
      <c r="I40" s="2">
        <v>46212.895567129628</v>
      </c>
    </row>
    <row r="41" spans="1:9" x14ac:dyDescent="0.25">
      <c r="A41">
        <v>129991904</v>
      </c>
      <c r="B41" s="2">
        <v>46214.815972222219</v>
      </c>
      <c r="C41" t="s">
        <v>10</v>
      </c>
      <c r="D41" t="s">
        <v>18</v>
      </c>
      <c r="E41" t="s">
        <v>71</v>
      </c>
      <c r="F41" t="s">
        <v>69</v>
      </c>
      <c r="G41">
        <v>1.29</v>
      </c>
      <c r="H41">
        <v>3.6</v>
      </c>
      <c r="I41" s="2">
        <v>46212.895162037035</v>
      </c>
    </row>
    <row r="42" spans="1:9" x14ac:dyDescent="0.25">
      <c r="A42">
        <v>129991904</v>
      </c>
      <c r="B42" s="2">
        <v>46214.815972222219</v>
      </c>
      <c r="C42" t="s">
        <v>10</v>
      </c>
      <c r="D42" t="s">
        <v>18</v>
      </c>
      <c r="E42" t="s">
        <v>66</v>
      </c>
      <c r="F42" t="s">
        <v>69</v>
      </c>
      <c r="G42">
        <v>1.28</v>
      </c>
      <c r="H42">
        <v>3.7</v>
      </c>
      <c r="I42" s="2">
        <v>46212.894918981481</v>
      </c>
    </row>
    <row r="43" spans="1:9" x14ac:dyDescent="0.25">
      <c r="A43">
        <v>129991904</v>
      </c>
      <c r="B43" s="2">
        <v>46214.815972222219</v>
      </c>
      <c r="C43" t="s">
        <v>10</v>
      </c>
      <c r="D43" t="s">
        <v>18</v>
      </c>
      <c r="E43" t="s">
        <v>72</v>
      </c>
      <c r="F43" t="s">
        <v>69</v>
      </c>
      <c r="G43">
        <v>1.29</v>
      </c>
      <c r="H43">
        <v>3.6</v>
      </c>
      <c r="I43" s="2">
        <v>46212.895162037035</v>
      </c>
    </row>
    <row r="44" spans="1:9" x14ac:dyDescent="0.25">
      <c r="A44">
        <v>129991904</v>
      </c>
      <c r="B44" s="2">
        <v>46214.815972222219</v>
      </c>
      <c r="C44" t="s">
        <v>10</v>
      </c>
      <c r="D44" t="s">
        <v>18</v>
      </c>
      <c r="E44" t="s">
        <v>73</v>
      </c>
      <c r="F44" t="s">
        <v>69</v>
      </c>
      <c r="G44">
        <v>1.29</v>
      </c>
      <c r="H44">
        <v>3.55</v>
      </c>
      <c r="I44" s="2">
        <v>46212.895150462966</v>
      </c>
    </row>
    <row r="45" spans="1:9" x14ac:dyDescent="0.25">
      <c r="A45">
        <v>129991904</v>
      </c>
      <c r="B45" s="2">
        <v>46214.815972222219</v>
      </c>
      <c r="C45" t="s">
        <v>10</v>
      </c>
      <c r="D45" t="s">
        <v>18</v>
      </c>
      <c r="E45" t="s">
        <v>63</v>
      </c>
      <c r="F45" t="s">
        <v>69</v>
      </c>
      <c r="G45">
        <v>1.32</v>
      </c>
      <c r="H45">
        <v>3.4</v>
      </c>
      <c r="I45" s="2">
        <v>46212.895162037035</v>
      </c>
    </row>
    <row r="46" spans="1:9" x14ac:dyDescent="0.25">
      <c r="A46">
        <v>129991905</v>
      </c>
      <c r="B46" s="2">
        <v>46215.583333333336</v>
      </c>
      <c r="C46" t="s">
        <v>14</v>
      </c>
      <c r="D46" t="s">
        <v>17</v>
      </c>
      <c r="E46" t="s">
        <v>61</v>
      </c>
      <c r="F46" t="s">
        <v>69</v>
      </c>
      <c r="G46">
        <v>1.98</v>
      </c>
      <c r="H46">
        <v>1.85</v>
      </c>
      <c r="I46" s="2">
        <v>46212.895150462966</v>
      </c>
    </row>
    <row r="47" spans="1:9" x14ac:dyDescent="0.25">
      <c r="A47">
        <v>129991905</v>
      </c>
      <c r="B47" s="2">
        <v>46215.583333333336</v>
      </c>
      <c r="C47" t="s">
        <v>14</v>
      </c>
      <c r="D47" t="s">
        <v>17</v>
      </c>
      <c r="E47" t="s">
        <v>70</v>
      </c>
      <c r="F47" t="s">
        <v>69</v>
      </c>
      <c r="G47">
        <v>2</v>
      </c>
      <c r="H47">
        <v>1.82</v>
      </c>
      <c r="I47" s="2">
        <v>46212.895173611112</v>
      </c>
    </row>
    <row r="48" spans="1:9" x14ac:dyDescent="0.25">
      <c r="A48">
        <v>129991905</v>
      </c>
      <c r="B48" s="2">
        <v>46215.583333333336</v>
      </c>
      <c r="C48" t="s">
        <v>14</v>
      </c>
      <c r="D48" t="s">
        <v>17</v>
      </c>
      <c r="E48" t="s">
        <v>65</v>
      </c>
      <c r="F48" t="s">
        <v>69</v>
      </c>
      <c r="G48">
        <v>2</v>
      </c>
      <c r="H48">
        <v>1.82</v>
      </c>
      <c r="I48" s="2">
        <v>46212.895335648151</v>
      </c>
    </row>
    <row r="49" spans="1:9" x14ac:dyDescent="0.25">
      <c r="A49">
        <v>129991905</v>
      </c>
      <c r="B49" s="2">
        <v>46215.583333333336</v>
      </c>
      <c r="C49" t="s">
        <v>14</v>
      </c>
      <c r="D49" t="s">
        <v>17</v>
      </c>
      <c r="E49" t="s">
        <v>67</v>
      </c>
      <c r="F49" t="s">
        <v>69</v>
      </c>
      <c r="G49">
        <v>1.95</v>
      </c>
      <c r="H49">
        <v>1.85</v>
      </c>
      <c r="I49" s="2">
        <v>46212.894930555558</v>
      </c>
    </row>
    <row r="50" spans="1:9" x14ac:dyDescent="0.25">
      <c r="A50">
        <v>129991905</v>
      </c>
      <c r="B50" s="2">
        <v>46215.583333333336</v>
      </c>
      <c r="C50" t="s">
        <v>14</v>
      </c>
      <c r="D50" t="s">
        <v>17</v>
      </c>
      <c r="E50" t="s">
        <v>62</v>
      </c>
      <c r="F50" t="s">
        <v>69</v>
      </c>
      <c r="G50">
        <v>2</v>
      </c>
      <c r="H50">
        <v>1.8</v>
      </c>
      <c r="I50" s="2">
        <v>46212.894328703704</v>
      </c>
    </row>
    <row r="51" spans="1:9" x14ac:dyDescent="0.25">
      <c r="A51">
        <v>129991905</v>
      </c>
      <c r="B51" s="2">
        <v>46215.583333333336</v>
      </c>
      <c r="C51" t="s">
        <v>14</v>
      </c>
      <c r="D51" t="s">
        <v>17</v>
      </c>
      <c r="E51" t="s">
        <v>64</v>
      </c>
      <c r="F51" t="s">
        <v>69</v>
      </c>
      <c r="G51">
        <v>1.02</v>
      </c>
      <c r="H51">
        <v>1.92</v>
      </c>
      <c r="I51" s="2">
        <v>46212.895567129628</v>
      </c>
    </row>
    <row r="52" spans="1:9" x14ac:dyDescent="0.25">
      <c r="A52">
        <v>129991905</v>
      </c>
      <c r="B52" s="2">
        <v>46215.583333333336</v>
      </c>
      <c r="C52" t="s">
        <v>14</v>
      </c>
      <c r="D52" t="s">
        <v>17</v>
      </c>
      <c r="E52" t="s">
        <v>71</v>
      </c>
      <c r="F52" t="s">
        <v>69</v>
      </c>
      <c r="G52">
        <v>2</v>
      </c>
      <c r="H52">
        <v>1.8</v>
      </c>
      <c r="I52" s="2">
        <v>46212.895162037035</v>
      </c>
    </row>
    <row r="53" spans="1:9" x14ac:dyDescent="0.25">
      <c r="A53">
        <v>129991905</v>
      </c>
      <c r="B53" s="2">
        <v>46215.583333333336</v>
      </c>
      <c r="C53" t="s">
        <v>14</v>
      </c>
      <c r="D53" t="s">
        <v>17</v>
      </c>
      <c r="E53" t="s">
        <v>66</v>
      </c>
      <c r="F53" t="s">
        <v>69</v>
      </c>
      <c r="G53">
        <v>1.95</v>
      </c>
      <c r="H53">
        <v>1.85</v>
      </c>
      <c r="I53" s="2">
        <v>46212.894918981481</v>
      </c>
    </row>
    <row r="54" spans="1:9" x14ac:dyDescent="0.25">
      <c r="A54">
        <v>129991905</v>
      </c>
      <c r="B54" s="2">
        <v>46215.583333333336</v>
      </c>
      <c r="C54" t="s">
        <v>14</v>
      </c>
      <c r="D54" t="s">
        <v>17</v>
      </c>
      <c r="E54" t="s">
        <v>72</v>
      </c>
      <c r="F54" t="s">
        <v>69</v>
      </c>
      <c r="G54">
        <v>2</v>
      </c>
      <c r="H54">
        <v>1.82</v>
      </c>
      <c r="I54" s="2">
        <v>46212.895162037035</v>
      </c>
    </row>
    <row r="55" spans="1:9" x14ac:dyDescent="0.25">
      <c r="A55">
        <v>129991905</v>
      </c>
      <c r="B55" s="2">
        <v>46215.583333333336</v>
      </c>
      <c r="C55" t="s">
        <v>14</v>
      </c>
      <c r="D55" t="s">
        <v>17</v>
      </c>
      <c r="E55" t="s">
        <v>73</v>
      </c>
      <c r="F55" t="s">
        <v>69</v>
      </c>
      <c r="G55">
        <v>1.98</v>
      </c>
      <c r="H55">
        <v>1.81</v>
      </c>
      <c r="I55" s="2">
        <v>46212.895150462966</v>
      </c>
    </row>
    <row r="56" spans="1:9" x14ac:dyDescent="0.25">
      <c r="A56">
        <v>129991905</v>
      </c>
      <c r="B56" s="2">
        <v>46215.583333333336</v>
      </c>
      <c r="C56" t="s">
        <v>14</v>
      </c>
      <c r="D56" t="s">
        <v>17</v>
      </c>
      <c r="E56" t="s">
        <v>63</v>
      </c>
      <c r="F56" t="s">
        <v>69</v>
      </c>
      <c r="G56">
        <v>1.95</v>
      </c>
      <c r="H56">
        <v>1.85</v>
      </c>
      <c r="I56" s="2">
        <v>46212.895162037035</v>
      </c>
    </row>
    <row r="57" spans="1:9" x14ac:dyDescent="0.25">
      <c r="A57">
        <v>129991906</v>
      </c>
      <c r="B57" s="2">
        <v>46215.670138888891</v>
      </c>
      <c r="C57" t="s">
        <v>19</v>
      </c>
      <c r="D57" t="s">
        <v>7</v>
      </c>
      <c r="E57" t="s">
        <v>61</v>
      </c>
      <c r="F57" t="s">
        <v>69</v>
      </c>
      <c r="G57">
        <v>1.53</v>
      </c>
      <c r="H57">
        <v>2.5099999999999998</v>
      </c>
      <c r="I57" s="2">
        <v>46212.895150462966</v>
      </c>
    </row>
    <row r="58" spans="1:9" x14ac:dyDescent="0.25">
      <c r="A58">
        <v>129991906</v>
      </c>
      <c r="B58" s="2">
        <v>46215.670138888891</v>
      </c>
      <c r="C58" t="s">
        <v>19</v>
      </c>
      <c r="D58" t="s">
        <v>7</v>
      </c>
      <c r="E58" t="s">
        <v>65</v>
      </c>
      <c r="F58" t="s">
        <v>69</v>
      </c>
      <c r="G58">
        <v>1.55</v>
      </c>
      <c r="H58">
        <v>2.4500000000000002</v>
      </c>
      <c r="I58" s="2">
        <v>46212.895335648151</v>
      </c>
    </row>
    <row r="59" spans="1:9" x14ac:dyDescent="0.25">
      <c r="A59">
        <v>129991906</v>
      </c>
      <c r="B59" s="2">
        <v>46215.670138888891</v>
      </c>
      <c r="C59" t="s">
        <v>19</v>
      </c>
      <c r="D59" t="s">
        <v>7</v>
      </c>
      <c r="E59" t="s">
        <v>70</v>
      </c>
      <c r="F59" t="s">
        <v>69</v>
      </c>
      <c r="G59">
        <v>1.55</v>
      </c>
      <c r="H59">
        <v>2.4500000000000002</v>
      </c>
      <c r="I59" s="2">
        <v>46212.895173611112</v>
      </c>
    </row>
    <row r="60" spans="1:9" x14ac:dyDescent="0.25">
      <c r="A60">
        <v>129991906</v>
      </c>
      <c r="B60" s="2">
        <v>46215.670138888891</v>
      </c>
      <c r="C60" t="s">
        <v>19</v>
      </c>
      <c r="D60" t="s">
        <v>7</v>
      </c>
      <c r="E60" t="s">
        <v>67</v>
      </c>
      <c r="F60" t="s">
        <v>69</v>
      </c>
      <c r="G60">
        <v>1.5</v>
      </c>
      <c r="H60">
        <v>2.5499999999999998</v>
      </c>
      <c r="I60" s="2">
        <v>46212.894930555558</v>
      </c>
    </row>
    <row r="61" spans="1:9" x14ac:dyDescent="0.25">
      <c r="A61">
        <v>129991906</v>
      </c>
      <c r="B61" s="2">
        <v>46215.670138888891</v>
      </c>
      <c r="C61" t="s">
        <v>19</v>
      </c>
      <c r="D61" t="s">
        <v>7</v>
      </c>
      <c r="E61" t="s">
        <v>62</v>
      </c>
      <c r="F61" t="s">
        <v>69</v>
      </c>
      <c r="G61">
        <v>1.5</v>
      </c>
      <c r="H61">
        <v>2.6</v>
      </c>
      <c r="I61" s="2">
        <v>46212.894328703704</v>
      </c>
    </row>
    <row r="62" spans="1:9" x14ac:dyDescent="0.25">
      <c r="A62">
        <v>129991906</v>
      </c>
      <c r="B62" s="2">
        <v>46215.670138888891</v>
      </c>
      <c r="C62" t="s">
        <v>19</v>
      </c>
      <c r="D62" t="s">
        <v>7</v>
      </c>
      <c r="E62" t="s">
        <v>64</v>
      </c>
      <c r="F62" t="s">
        <v>69</v>
      </c>
      <c r="G62">
        <v>1.56</v>
      </c>
      <c r="H62">
        <v>2.58</v>
      </c>
      <c r="I62" s="2">
        <v>46212.895567129628</v>
      </c>
    </row>
    <row r="63" spans="1:9" x14ac:dyDescent="0.25">
      <c r="A63">
        <v>129991906</v>
      </c>
      <c r="B63" s="2">
        <v>46215.670138888891</v>
      </c>
      <c r="C63" t="s">
        <v>19</v>
      </c>
      <c r="D63" t="s">
        <v>7</v>
      </c>
      <c r="E63" t="s">
        <v>71</v>
      </c>
      <c r="F63" t="s">
        <v>69</v>
      </c>
      <c r="G63">
        <v>1.5</v>
      </c>
      <c r="H63">
        <v>2.6</v>
      </c>
      <c r="I63" s="2">
        <v>46212.895162037035</v>
      </c>
    </row>
    <row r="64" spans="1:9" x14ac:dyDescent="0.25">
      <c r="A64">
        <v>129991906</v>
      </c>
      <c r="B64" s="2">
        <v>46215.670138888891</v>
      </c>
      <c r="C64" t="s">
        <v>19</v>
      </c>
      <c r="D64" t="s">
        <v>7</v>
      </c>
      <c r="E64" t="s">
        <v>66</v>
      </c>
      <c r="F64" t="s">
        <v>69</v>
      </c>
      <c r="G64">
        <v>1.53</v>
      </c>
      <c r="H64">
        <v>2.5</v>
      </c>
      <c r="I64" s="2">
        <v>46212.894918981481</v>
      </c>
    </row>
    <row r="65" spans="1:9" x14ac:dyDescent="0.25">
      <c r="A65">
        <v>129991906</v>
      </c>
      <c r="B65" s="2">
        <v>46215.670138888891</v>
      </c>
      <c r="C65" t="s">
        <v>19</v>
      </c>
      <c r="D65" t="s">
        <v>7</v>
      </c>
      <c r="E65" t="s">
        <v>72</v>
      </c>
      <c r="F65" t="s">
        <v>69</v>
      </c>
      <c r="G65">
        <v>1.54</v>
      </c>
      <c r="H65">
        <v>2.48</v>
      </c>
      <c r="I65" s="2">
        <v>46212.895162037035</v>
      </c>
    </row>
    <row r="66" spans="1:9" x14ac:dyDescent="0.25">
      <c r="A66">
        <v>129991906</v>
      </c>
      <c r="B66" s="2">
        <v>46215.670138888891</v>
      </c>
      <c r="C66" t="s">
        <v>19</v>
      </c>
      <c r="D66" t="s">
        <v>7</v>
      </c>
      <c r="E66" t="s">
        <v>73</v>
      </c>
      <c r="F66" t="s">
        <v>69</v>
      </c>
      <c r="G66">
        <v>1.54</v>
      </c>
      <c r="H66">
        <v>2.4500000000000002</v>
      </c>
      <c r="I66" s="2">
        <v>46212.895150462966</v>
      </c>
    </row>
    <row r="67" spans="1:9" x14ac:dyDescent="0.25">
      <c r="A67">
        <v>129991906</v>
      </c>
      <c r="B67" s="2">
        <v>46215.670138888891</v>
      </c>
      <c r="C67" t="s">
        <v>19</v>
      </c>
      <c r="D67" t="s">
        <v>7</v>
      </c>
      <c r="E67" t="s">
        <v>63</v>
      </c>
      <c r="F67" t="s">
        <v>69</v>
      </c>
      <c r="G67">
        <v>1.53</v>
      </c>
      <c r="H67">
        <v>2.5</v>
      </c>
      <c r="I67" s="2">
        <v>46212.895162037035</v>
      </c>
    </row>
    <row r="68" spans="1:9" x14ac:dyDescent="0.25">
      <c r="A68">
        <v>129991907</v>
      </c>
      <c r="B68" s="2">
        <v>46215.760416666664</v>
      </c>
      <c r="C68" t="s">
        <v>15</v>
      </c>
      <c r="D68" t="s">
        <v>22</v>
      </c>
      <c r="E68" t="s">
        <v>61</v>
      </c>
      <c r="F68" t="s">
        <v>69</v>
      </c>
      <c r="G68">
        <v>1.29</v>
      </c>
      <c r="H68">
        <v>3.57</v>
      </c>
      <c r="I68" s="2">
        <v>46212.895150462966</v>
      </c>
    </row>
    <row r="69" spans="1:9" x14ac:dyDescent="0.25">
      <c r="A69">
        <v>129991907</v>
      </c>
      <c r="B69" s="2">
        <v>46215.760416666664</v>
      </c>
      <c r="C69" t="s">
        <v>15</v>
      </c>
      <c r="D69" t="s">
        <v>22</v>
      </c>
      <c r="E69" t="s">
        <v>65</v>
      </c>
      <c r="F69" t="s">
        <v>69</v>
      </c>
      <c r="G69">
        <v>1.32</v>
      </c>
      <c r="H69">
        <v>3.4</v>
      </c>
      <c r="I69" s="2">
        <v>46212.895335648151</v>
      </c>
    </row>
    <row r="70" spans="1:9" x14ac:dyDescent="0.25">
      <c r="A70">
        <v>129991907</v>
      </c>
      <c r="B70" s="2">
        <v>46215.760416666664</v>
      </c>
      <c r="C70" t="s">
        <v>15</v>
      </c>
      <c r="D70" t="s">
        <v>22</v>
      </c>
      <c r="E70" t="s">
        <v>70</v>
      </c>
      <c r="F70" t="s">
        <v>69</v>
      </c>
      <c r="G70">
        <v>1.32</v>
      </c>
      <c r="H70">
        <v>3.4</v>
      </c>
      <c r="I70" s="2">
        <v>46212.895173611112</v>
      </c>
    </row>
    <row r="71" spans="1:9" x14ac:dyDescent="0.25">
      <c r="A71">
        <v>129991907</v>
      </c>
      <c r="B71" s="2">
        <v>46215.760416666664</v>
      </c>
      <c r="C71" t="s">
        <v>15</v>
      </c>
      <c r="D71" t="s">
        <v>22</v>
      </c>
      <c r="E71" t="s">
        <v>67</v>
      </c>
      <c r="F71" t="s">
        <v>69</v>
      </c>
      <c r="G71">
        <v>1.3</v>
      </c>
      <c r="H71">
        <v>3.4</v>
      </c>
      <c r="I71" s="2">
        <v>46212.894930555558</v>
      </c>
    </row>
    <row r="72" spans="1:9" x14ac:dyDescent="0.25">
      <c r="A72">
        <v>129991907</v>
      </c>
      <c r="B72" s="2">
        <v>46215.760416666664</v>
      </c>
      <c r="C72" t="s">
        <v>15</v>
      </c>
      <c r="D72" t="s">
        <v>22</v>
      </c>
      <c r="E72" t="s">
        <v>62</v>
      </c>
      <c r="F72" t="s">
        <v>69</v>
      </c>
      <c r="G72">
        <v>1.29</v>
      </c>
      <c r="H72">
        <v>3.6</v>
      </c>
      <c r="I72" s="2">
        <v>46212.894328703704</v>
      </c>
    </row>
    <row r="73" spans="1:9" x14ac:dyDescent="0.25">
      <c r="A73">
        <v>129991907</v>
      </c>
      <c r="B73" s="2">
        <v>46215.760416666664</v>
      </c>
      <c r="C73" t="s">
        <v>15</v>
      </c>
      <c r="D73" t="s">
        <v>22</v>
      </c>
      <c r="E73" t="s">
        <v>64</v>
      </c>
      <c r="F73" t="s">
        <v>69</v>
      </c>
      <c r="G73">
        <v>1.28</v>
      </c>
      <c r="H73">
        <v>3.9</v>
      </c>
      <c r="I73" s="2">
        <v>46212.895567129628</v>
      </c>
    </row>
    <row r="74" spans="1:9" x14ac:dyDescent="0.25">
      <c r="A74">
        <v>129991907</v>
      </c>
      <c r="B74" s="2">
        <v>46215.760416666664</v>
      </c>
      <c r="C74" t="s">
        <v>15</v>
      </c>
      <c r="D74" t="s">
        <v>22</v>
      </c>
      <c r="E74" t="s">
        <v>71</v>
      </c>
      <c r="F74" t="s">
        <v>69</v>
      </c>
      <c r="G74">
        <v>1.29</v>
      </c>
      <c r="H74">
        <v>3.6</v>
      </c>
      <c r="I74" s="2">
        <v>46212.895162037035</v>
      </c>
    </row>
    <row r="75" spans="1:9" x14ac:dyDescent="0.25">
      <c r="A75">
        <v>129991907</v>
      </c>
      <c r="B75" s="2">
        <v>46215.760416666664</v>
      </c>
      <c r="C75" t="s">
        <v>15</v>
      </c>
      <c r="D75" t="s">
        <v>22</v>
      </c>
      <c r="E75" t="s">
        <v>66</v>
      </c>
      <c r="F75" t="s">
        <v>69</v>
      </c>
      <c r="G75">
        <v>1.29</v>
      </c>
      <c r="H75">
        <v>3.6</v>
      </c>
      <c r="I75" s="2">
        <v>46212.894918981481</v>
      </c>
    </row>
    <row r="76" spans="1:9" x14ac:dyDescent="0.25">
      <c r="A76">
        <v>129991907</v>
      </c>
      <c r="B76" s="2">
        <v>46215.760416666664</v>
      </c>
      <c r="C76" t="s">
        <v>15</v>
      </c>
      <c r="D76" t="s">
        <v>22</v>
      </c>
      <c r="E76" t="s">
        <v>72</v>
      </c>
      <c r="F76" t="s">
        <v>69</v>
      </c>
      <c r="G76">
        <v>1.33</v>
      </c>
      <c r="H76">
        <v>3.3</v>
      </c>
      <c r="I76" s="2">
        <v>46212.895162037035</v>
      </c>
    </row>
    <row r="77" spans="1:9" x14ac:dyDescent="0.25">
      <c r="A77">
        <v>129991907</v>
      </c>
      <c r="B77" s="2">
        <v>46215.760416666664</v>
      </c>
      <c r="C77" t="s">
        <v>15</v>
      </c>
      <c r="D77" t="s">
        <v>22</v>
      </c>
      <c r="E77" t="s">
        <v>73</v>
      </c>
      <c r="F77" t="s">
        <v>69</v>
      </c>
      <c r="G77">
        <v>1.33</v>
      </c>
      <c r="H77">
        <v>3.3</v>
      </c>
      <c r="I77" s="2">
        <v>46212.895150462966</v>
      </c>
    </row>
    <row r="78" spans="1:9" x14ac:dyDescent="0.25">
      <c r="A78">
        <v>129991907</v>
      </c>
      <c r="B78" s="2">
        <v>46215.760416666664</v>
      </c>
      <c r="C78" t="s">
        <v>15</v>
      </c>
      <c r="D78" t="s">
        <v>22</v>
      </c>
      <c r="E78" t="s">
        <v>63</v>
      </c>
      <c r="F78" t="s">
        <v>69</v>
      </c>
      <c r="G78">
        <v>1.3</v>
      </c>
      <c r="H78">
        <v>3.55</v>
      </c>
      <c r="I78" s="2">
        <v>46212.895162037035</v>
      </c>
    </row>
    <row r="79" spans="1:9" x14ac:dyDescent="0.25">
      <c r="A79">
        <v>129991801</v>
      </c>
      <c r="B79" s="2">
        <v>46206.833333333336</v>
      </c>
      <c r="C79" t="s">
        <v>16</v>
      </c>
      <c r="D79" t="s">
        <v>14</v>
      </c>
      <c r="E79" t="s">
        <v>61</v>
      </c>
      <c r="F79" t="s">
        <v>69</v>
      </c>
      <c r="G79">
        <v>1.58</v>
      </c>
      <c r="H79">
        <v>2.39</v>
      </c>
      <c r="I79" s="2">
        <v>46204.563032407408</v>
      </c>
    </row>
    <row r="80" spans="1:9" x14ac:dyDescent="0.25">
      <c r="A80">
        <v>129991801</v>
      </c>
      <c r="B80" s="2">
        <v>46206.833333333336</v>
      </c>
      <c r="C80" t="s">
        <v>16</v>
      </c>
      <c r="D80" t="s">
        <v>14</v>
      </c>
      <c r="E80" t="s">
        <v>66</v>
      </c>
      <c r="F80" t="s">
        <v>69</v>
      </c>
      <c r="G80">
        <v>1.67</v>
      </c>
      <c r="H80">
        <v>2.2000000000000002</v>
      </c>
      <c r="I80" s="2">
        <v>46204.563715277778</v>
      </c>
    </row>
    <row r="81" spans="1:9" x14ac:dyDescent="0.25">
      <c r="A81">
        <v>129991801</v>
      </c>
      <c r="B81" s="2">
        <v>46206.833333333336</v>
      </c>
      <c r="C81" t="s">
        <v>16</v>
      </c>
      <c r="D81" t="s">
        <v>14</v>
      </c>
      <c r="E81" t="s">
        <v>62</v>
      </c>
      <c r="F81" t="s">
        <v>69</v>
      </c>
      <c r="G81">
        <v>1.6</v>
      </c>
      <c r="H81">
        <v>2.35</v>
      </c>
      <c r="I81" s="2">
        <v>46204.563321759262</v>
      </c>
    </row>
    <row r="82" spans="1:9" x14ac:dyDescent="0.25">
      <c r="A82">
        <v>129991801</v>
      </c>
      <c r="B82" s="2">
        <v>46206.833333333336</v>
      </c>
      <c r="C82" t="s">
        <v>16</v>
      </c>
      <c r="D82" t="s">
        <v>14</v>
      </c>
      <c r="E82" t="s">
        <v>63</v>
      </c>
      <c r="F82" t="s">
        <v>69</v>
      </c>
      <c r="G82">
        <v>1.6</v>
      </c>
      <c r="H82">
        <v>2.35</v>
      </c>
      <c r="I82" s="2">
        <v>46204.563576388886</v>
      </c>
    </row>
    <row r="83" spans="1:9" x14ac:dyDescent="0.25">
      <c r="A83">
        <v>129991801</v>
      </c>
      <c r="B83" s="2">
        <v>46206.833333333336</v>
      </c>
      <c r="C83" t="s">
        <v>16</v>
      </c>
      <c r="D83" t="s">
        <v>14</v>
      </c>
      <c r="E83" t="s">
        <v>67</v>
      </c>
      <c r="F83" t="s">
        <v>69</v>
      </c>
      <c r="G83">
        <v>1.57</v>
      </c>
      <c r="H83">
        <v>2.35</v>
      </c>
      <c r="I83" s="2">
        <v>46204.563032407408</v>
      </c>
    </row>
    <row r="84" spans="1:9" x14ac:dyDescent="0.25">
      <c r="A84">
        <v>129991801</v>
      </c>
      <c r="B84" s="2">
        <v>46206.833333333336</v>
      </c>
      <c r="C84" t="s">
        <v>16</v>
      </c>
      <c r="D84" t="s">
        <v>14</v>
      </c>
      <c r="E84" t="s">
        <v>70</v>
      </c>
      <c r="F84" t="s">
        <v>69</v>
      </c>
      <c r="G84">
        <v>1.64</v>
      </c>
      <c r="H84">
        <v>2.2999999999999998</v>
      </c>
      <c r="I84" s="2">
        <v>46204.563715277778</v>
      </c>
    </row>
    <row r="85" spans="1:9" x14ac:dyDescent="0.25">
      <c r="A85">
        <v>129991801</v>
      </c>
      <c r="B85" s="2">
        <v>46206.833333333336</v>
      </c>
      <c r="C85" t="s">
        <v>16</v>
      </c>
      <c r="D85" t="s">
        <v>14</v>
      </c>
      <c r="E85" t="s">
        <v>65</v>
      </c>
      <c r="F85" t="s">
        <v>69</v>
      </c>
      <c r="G85">
        <v>1.64</v>
      </c>
      <c r="H85">
        <v>2.2999999999999998</v>
      </c>
      <c r="I85" s="2">
        <v>46204.563564814816</v>
      </c>
    </row>
    <row r="86" spans="1:9" x14ac:dyDescent="0.25">
      <c r="A86">
        <v>129991801</v>
      </c>
      <c r="B86" s="2">
        <v>46206.833333333336</v>
      </c>
      <c r="C86" t="s">
        <v>16</v>
      </c>
      <c r="D86" t="s">
        <v>14</v>
      </c>
      <c r="E86" t="s">
        <v>71</v>
      </c>
      <c r="F86" t="s">
        <v>69</v>
      </c>
      <c r="G86">
        <v>1.62</v>
      </c>
      <c r="H86">
        <v>2.2999999999999998</v>
      </c>
      <c r="I86" s="2">
        <v>46204.563715277778</v>
      </c>
    </row>
    <row r="87" spans="1:9" x14ac:dyDescent="0.25">
      <c r="A87">
        <v>129991801</v>
      </c>
      <c r="B87" s="2">
        <v>46206.833333333336</v>
      </c>
      <c r="C87" t="s">
        <v>16</v>
      </c>
      <c r="D87" t="s">
        <v>14</v>
      </c>
      <c r="E87" t="s">
        <v>72</v>
      </c>
      <c r="F87" t="s">
        <v>69</v>
      </c>
      <c r="G87">
        <v>1.65</v>
      </c>
      <c r="H87">
        <v>2.25</v>
      </c>
      <c r="I87" s="2">
        <v>46204.563715277778</v>
      </c>
    </row>
    <row r="88" spans="1:9" x14ac:dyDescent="0.25">
      <c r="A88">
        <v>129991801</v>
      </c>
      <c r="B88" s="2">
        <v>46206.833333333336</v>
      </c>
      <c r="C88" t="s">
        <v>16</v>
      </c>
      <c r="D88" t="s">
        <v>14</v>
      </c>
      <c r="E88" t="s">
        <v>73</v>
      </c>
      <c r="F88" t="s">
        <v>69</v>
      </c>
      <c r="G88">
        <v>1.64</v>
      </c>
      <c r="H88">
        <v>2.23</v>
      </c>
      <c r="I88" s="2">
        <v>46204.563437500001</v>
      </c>
    </row>
    <row r="89" spans="1:9" x14ac:dyDescent="0.25">
      <c r="A89">
        <v>129991801</v>
      </c>
      <c r="B89" s="2">
        <v>46206.833333333336</v>
      </c>
      <c r="C89" t="s">
        <v>16</v>
      </c>
      <c r="D89" t="s">
        <v>14</v>
      </c>
      <c r="E89" t="s">
        <v>64</v>
      </c>
      <c r="F89" t="s">
        <v>69</v>
      </c>
      <c r="G89">
        <v>1.6</v>
      </c>
      <c r="H89">
        <v>2.44</v>
      </c>
      <c r="I89" s="2">
        <v>46204.563715277778</v>
      </c>
    </row>
    <row r="90" spans="1:9" x14ac:dyDescent="0.25">
      <c r="A90">
        <v>129991802</v>
      </c>
      <c r="B90" s="2">
        <v>46207.729166666664</v>
      </c>
      <c r="C90" t="s">
        <v>11</v>
      </c>
      <c r="D90" t="s">
        <v>5</v>
      </c>
      <c r="E90" t="s">
        <v>61</v>
      </c>
      <c r="F90" t="s">
        <v>69</v>
      </c>
      <c r="G90">
        <v>2.46</v>
      </c>
      <c r="H90">
        <v>1.55</v>
      </c>
      <c r="I90" s="2">
        <v>46204.563032407408</v>
      </c>
    </row>
    <row r="91" spans="1:9" x14ac:dyDescent="0.25">
      <c r="A91">
        <v>129991802</v>
      </c>
      <c r="B91" s="2">
        <v>46207.729166666664</v>
      </c>
      <c r="C91" t="s">
        <v>11</v>
      </c>
      <c r="D91" t="s">
        <v>5</v>
      </c>
      <c r="E91" t="s">
        <v>62</v>
      </c>
      <c r="F91" t="s">
        <v>69</v>
      </c>
      <c r="G91">
        <v>2.4</v>
      </c>
      <c r="H91">
        <v>1.58</v>
      </c>
      <c r="I91" s="2">
        <v>46204.563321759262</v>
      </c>
    </row>
    <row r="92" spans="1:9" x14ac:dyDescent="0.25">
      <c r="A92">
        <v>129991802</v>
      </c>
      <c r="B92" s="2">
        <v>46207.729166666664</v>
      </c>
      <c r="C92" t="s">
        <v>11</v>
      </c>
      <c r="D92" t="s">
        <v>5</v>
      </c>
      <c r="E92" t="s">
        <v>67</v>
      </c>
      <c r="F92" t="s">
        <v>69</v>
      </c>
      <c r="G92">
        <v>2.4</v>
      </c>
      <c r="H92">
        <v>1.55</v>
      </c>
      <c r="I92" s="2">
        <v>46204.563032407408</v>
      </c>
    </row>
    <row r="93" spans="1:9" x14ac:dyDescent="0.25">
      <c r="A93">
        <v>129991802</v>
      </c>
      <c r="B93" s="2">
        <v>46207.729166666664</v>
      </c>
      <c r="C93" t="s">
        <v>11</v>
      </c>
      <c r="D93" t="s">
        <v>5</v>
      </c>
      <c r="E93" t="s">
        <v>70</v>
      </c>
      <c r="F93" t="s">
        <v>69</v>
      </c>
      <c r="G93">
        <v>2.4</v>
      </c>
      <c r="H93">
        <v>1.58</v>
      </c>
      <c r="I93" s="2">
        <v>46204.563715277778</v>
      </c>
    </row>
    <row r="94" spans="1:9" x14ac:dyDescent="0.25">
      <c r="A94">
        <v>129991802</v>
      </c>
      <c r="B94" s="2">
        <v>46207.729166666664</v>
      </c>
      <c r="C94" t="s">
        <v>11</v>
      </c>
      <c r="D94" t="s">
        <v>5</v>
      </c>
      <c r="E94" t="s">
        <v>65</v>
      </c>
      <c r="F94" t="s">
        <v>69</v>
      </c>
      <c r="G94">
        <v>2.4</v>
      </c>
      <c r="H94">
        <v>1.58</v>
      </c>
      <c r="I94" s="2">
        <v>46204.563564814816</v>
      </c>
    </row>
    <row r="95" spans="1:9" x14ac:dyDescent="0.25">
      <c r="A95">
        <v>129991802</v>
      </c>
      <c r="B95" s="2">
        <v>46207.729166666664</v>
      </c>
      <c r="C95" t="s">
        <v>11</v>
      </c>
      <c r="D95" t="s">
        <v>5</v>
      </c>
      <c r="E95" t="s">
        <v>72</v>
      </c>
      <c r="F95" t="s">
        <v>69</v>
      </c>
      <c r="G95">
        <v>2.4300000000000002</v>
      </c>
      <c r="H95">
        <v>1.56</v>
      </c>
      <c r="I95" s="2">
        <v>46204.563715277778</v>
      </c>
    </row>
    <row r="96" spans="1:9" x14ac:dyDescent="0.25">
      <c r="A96">
        <v>129991802</v>
      </c>
      <c r="B96" s="2">
        <v>46207.729166666664</v>
      </c>
      <c r="C96" t="s">
        <v>11</v>
      </c>
      <c r="D96" t="s">
        <v>5</v>
      </c>
      <c r="E96" t="s">
        <v>64</v>
      </c>
      <c r="F96" t="s">
        <v>69</v>
      </c>
      <c r="G96">
        <v>1.01</v>
      </c>
      <c r="H96">
        <v>1.55</v>
      </c>
      <c r="I96" s="2">
        <v>46204.563715277778</v>
      </c>
    </row>
    <row r="97" spans="1:9" x14ac:dyDescent="0.25">
      <c r="A97">
        <v>129991802</v>
      </c>
      <c r="B97" s="2">
        <v>46207.729166666664</v>
      </c>
      <c r="C97" t="s">
        <v>11</v>
      </c>
      <c r="D97" t="s">
        <v>5</v>
      </c>
      <c r="E97" t="s">
        <v>71</v>
      </c>
      <c r="F97" t="s">
        <v>69</v>
      </c>
      <c r="G97">
        <v>2.35</v>
      </c>
      <c r="H97">
        <v>1.6</v>
      </c>
      <c r="I97" s="2">
        <v>46204.563715277778</v>
      </c>
    </row>
    <row r="98" spans="1:9" x14ac:dyDescent="0.25">
      <c r="A98">
        <v>129991802</v>
      </c>
      <c r="B98" s="2">
        <v>46207.729166666664</v>
      </c>
      <c r="C98" t="s">
        <v>11</v>
      </c>
      <c r="D98" t="s">
        <v>5</v>
      </c>
      <c r="E98" t="s">
        <v>73</v>
      </c>
      <c r="F98" t="s">
        <v>69</v>
      </c>
      <c r="G98">
        <v>2.4</v>
      </c>
      <c r="H98">
        <v>1.55</v>
      </c>
      <c r="I98" s="2">
        <v>46204.563437500001</v>
      </c>
    </row>
    <row r="99" spans="1:9" x14ac:dyDescent="0.25">
      <c r="A99">
        <v>129991802</v>
      </c>
      <c r="B99" s="2">
        <v>46207.729166666664</v>
      </c>
      <c r="C99" t="s">
        <v>11</v>
      </c>
      <c r="D99" t="s">
        <v>5</v>
      </c>
      <c r="E99" t="s">
        <v>66</v>
      </c>
      <c r="F99" t="s">
        <v>69</v>
      </c>
      <c r="G99">
        <v>2.5499999999999998</v>
      </c>
      <c r="H99">
        <v>1.52</v>
      </c>
      <c r="I99" s="2">
        <v>46204.563715277778</v>
      </c>
    </row>
    <row r="100" spans="1:9" x14ac:dyDescent="0.25">
      <c r="A100">
        <v>129991802</v>
      </c>
      <c r="B100" s="2">
        <v>46207.729166666664</v>
      </c>
      <c r="C100" t="s">
        <v>11</v>
      </c>
      <c r="D100" t="s">
        <v>5</v>
      </c>
      <c r="E100" t="s">
        <v>63</v>
      </c>
      <c r="F100" t="s">
        <v>69</v>
      </c>
      <c r="G100">
        <v>2.38</v>
      </c>
      <c r="H100">
        <v>1.58</v>
      </c>
      <c r="I100" s="2">
        <v>46204.563576388886</v>
      </c>
    </row>
    <row r="101" spans="1:9" x14ac:dyDescent="0.25">
      <c r="A101">
        <v>129991803</v>
      </c>
      <c r="B101" s="2">
        <v>46207.815972222219</v>
      </c>
      <c r="C101" t="s">
        <v>9</v>
      </c>
      <c r="D101" t="s">
        <v>6</v>
      </c>
      <c r="E101" t="s">
        <v>61</v>
      </c>
      <c r="F101" t="s">
        <v>69</v>
      </c>
      <c r="G101">
        <v>2.72</v>
      </c>
      <c r="H101">
        <v>1.46</v>
      </c>
      <c r="I101" s="2">
        <v>46204.563032407408</v>
      </c>
    </row>
    <row r="102" spans="1:9" x14ac:dyDescent="0.25">
      <c r="A102">
        <v>129991803</v>
      </c>
      <c r="B102" s="2">
        <v>46207.815972222219</v>
      </c>
      <c r="C102" t="s">
        <v>9</v>
      </c>
      <c r="D102" t="s">
        <v>6</v>
      </c>
      <c r="E102" t="s">
        <v>66</v>
      </c>
      <c r="F102" t="s">
        <v>69</v>
      </c>
      <c r="G102">
        <v>2.6</v>
      </c>
      <c r="H102">
        <v>1.5</v>
      </c>
      <c r="I102" s="2">
        <v>46204.563715277778</v>
      </c>
    </row>
    <row r="103" spans="1:9" x14ac:dyDescent="0.25">
      <c r="A103">
        <v>129991803</v>
      </c>
      <c r="B103" s="2">
        <v>46207.815972222219</v>
      </c>
      <c r="C103" t="s">
        <v>9</v>
      </c>
      <c r="D103" t="s">
        <v>6</v>
      </c>
      <c r="E103" t="s">
        <v>62</v>
      </c>
      <c r="F103" t="s">
        <v>69</v>
      </c>
      <c r="G103">
        <v>2.65</v>
      </c>
      <c r="H103">
        <v>1.48</v>
      </c>
      <c r="I103" s="2">
        <v>46204.563321759262</v>
      </c>
    </row>
    <row r="104" spans="1:9" x14ac:dyDescent="0.25">
      <c r="A104">
        <v>129991803</v>
      </c>
      <c r="B104" s="2">
        <v>46207.815972222219</v>
      </c>
      <c r="C104" t="s">
        <v>9</v>
      </c>
      <c r="D104" t="s">
        <v>6</v>
      </c>
      <c r="E104" t="s">
        <v>67</v>
      </c>
      <c r="F104" t="s">
        <v>69</v>
      </c>
      <c r="G104">
        <v>2.7</v>
      </c>
      <c r="H104">
        <v>1.45</v>
      </c>
      <c r="I104" s="2">
        <v>46204.563032407408</v>
      </c>
    </row>
    <row r="105" spans="1:9" x14ac:dyDescent="0.25">
      <c r="A105">
        <v>129991803</v>
      </c>
      <c r="B105" s="2">
        <v>46207.815972222219</v>
      </c>
      <c r="C105" t="s">
        <v>9</v>
      </c>
      <c r="D105" t="s">
        <v>6</v>
      </c>
      <c r="E105" t="s">
        <v>65</v>
      </c>
      <c r="F105" t="s">
        <v>69</v>
      </c>
      <c r="G105">
        <v>2.75</v>
      </c>
      <c r="H105">
        <v>1.46</v>
      </c>
      <c r="I105" s="2">
        <v>46204.563564814816</v>
      </c>
    </row>
    <row r="106" spans="1:9" x14ac:dyDescent="0.25">
      <c r="A106">
        <v>129991803</v>
      </c>
      <c r="B106" s="2">
        <v>46207.815972222219</v>
      </c>
      <c r="C106" t="s">
        <v>9</v>
      </c>
      <c r="D106" t="s">
        <v>6</v>
      </c>
      <c r="E106" t="s">
        <v>70</v>
      </c>
      <c r="F106" t="s">
        <v>69</v>
      </c>
      <c r="G106">
        <v>2.75</v>
      </c>
      <c r="H106">
        <v>1.46</v>
      </c>
      <c r="I106" s="2">
        <v>46204.563715277778</v>
      </c>
    </row>
    <row r="107" spans="1:9" x14ac:dyDescent="0.25">
      <c r="A107">
        <v>129991803</v>
      </c>
      <c r="B107" s="2">
        <v>46207.815972222219</v>
      </c>
      <c r="C107" t="s">
        <v>9</v>
      </c>
      <c r="D107" t="s">
        <v>6</v>
      </c>
      <c r="E107" t="s">
        <v>71</v>
      </c>
      <c r="F107" t="s">
        <v>69</v>
      </c>
      <c r="G107">
        <v>2.65</v>
      </c>
      <c r="H107">
        <v>1.48</v>
      </c>
      <c r="I107" s="2">
        <v>46204.563715277778</v>
      </c>
    </row>
    <row r="108" spans="1:9" x14ac:dyDescent="0.25">
      <c r="A108">
        <v>129991803</v>
      </c>
      <c r="B108" s="2">
        <v>46207.815972222219</v>
      </c>
      <c r="C108" t="s">
        <v>9</v>
      </c>
      <c r="D108" t="s">
        <v>6</v>
      </c>
      <c r="E108" t="s">
        <v>72</v>
      </c>
      <c r="F108" t="s">
        <v>69</v>
      </c>
      <c r="G108">
        <v>2.7</v>
      </c>
      <c r="H108">
        <v>1.47</v>
      </c>
      <c r="I108" s="2">
        <v>46204.563715277778</v>
      </c>
    </row>
    <row r="109" spans="1:9" x14ac:dyDescent="0.25">
      <c r="A109">
        <v>129991803</v>
      </c>
      <c r="B109" s="2">
        <v>46207.815972222219</v>
      </c>
      <c r="C109" t="s">
        <v>9</v>
      </c>
      <c r="D109" t="s">
        <v>6</v>
      </c>
      <c r="E109" t="s">
        <v>73</v>
      </c>
      <c r="F109" t="s">
        <v>69</v>
      </c>
      <c r="G109">
        <v>2.65</v>
      </c>
      <c r="H109">
        <v>1.46</v>
      </c>
      <c r="I109" s="2">
        <v>46204.563437500001</v>
      </c>
    </row>
    <row r="110" spans="1:9" x14ac:dyDescent="0.25">
      <c r="A110">
        <v>129991803</v>
      </c>
      <c r="B110" s="2">
        <v>46207.815972222219</v>
      </c>
      <c r="C110" t="s">
        <v>9</v>
      </c>
      <c r="D110" t="s">
        <v>6</v>
      </c>
      <c r="E110" t="s">
        <v>64</v>
      </c>
      <c r="F110" t="s">
        <v>69</v>
      </c>
      <c r="G110">
        <v>1.03</v>
      </c>
      <c r="H110">
        <v>1.5</v>
      </c>
      <c r="I110" s="2">
        <v>46204.563715277778</v>
      </c>
    </row>
    <row r="111" spans="1:9" x14ac:dyDescent="0.25">
      <c r="A111">
        <v>129991803</v>
      </c>
      <c r="B111" s="2">
        <v>46207.815972222219</v>
      </c>
      <c r="C111" t="s">
        <v>9</v>
      </c>
      <c r="D111" t="s">
        <v>6</v>
      </c>
      <c r="E111" t="s">
        <v>63</v>
      </c>
      <c r="F111" t="s">
        <v>69</v>
      </c>
      <c r="G111">
        <v>2.65</v>
      </c>
      <c r="H111">
        <v>1.48</v>
      </c>
      <c r="I111" s="2">
        <v>46204.563576388886</v>
      </c>
    </row>
    <row r="112" spans="1:9" x14ac:dyDescent="0.25">
      <c r="A112">
        <v>129991804</v>
      </c>
      <c r="B112" s="2">
        <v>46208.583333333336</v>
      </c>
      <c r="C112" t="s">
        <v>18</v>
      </c>
      <c r="D112" t="s">
        <v>19</v>
      </c>
      <c r="E112" t="s">
        <v>61</v>
      </c>
      <c r="F112" t="s">
        <v>69</v>
      </c>
      <c r="G112">
        <v>3.13</v>
      </c>
      <c r="H112">
        <v>1.37</v>
      </c>
      <c r="I112" s="2">
        <v>46204.563032407408</v>
      </c>
    </row>
    <row r="113" spans="1:9" x14ac:dyDescent="0.25">
      <c r="A113">
        <v>129991804</v>
      </c>
      <c r="B113" s="2">
        <v>46208.583333333336</v>
      </c>
      <c r="C113" t="s">
        <v>18</v>
      </c>
      <c r="D113" t="s">
        <v>19</v>
      </c>
      <c r="E113" t="s">
        <v>62</v>
      </c>
      <c r="F113" t="s">
        <v>69</v>
      </c>
      <c r="G113">
        <v>3.1</v>
      </c>
      <c r="H113">
        <v>1.38</v>
      </c>
      <c r="I113" s="2">
        <v>46204.563321759262</v>
      </c>
    </row>
    <row r="114" spans="1:9" x14ac:dyDescent="0.25">
      <c r="A114">
        <v>129991804</v>
      </c>
      <c r="B114" s="2">
        <v>46208.583333333336</v>
      </c>
      <c r="C114" t="s">
        <v>18</v>
      </c>
      <c r="D114" t="s">
        <v>19</v>
      </c>
      <c r="E114" t="s">
        <v>63</v>
      </c>
      <c r="F114" t="s">
        <v>69</v>
      </c>
      <c r="G114">
        <v>3.1</v>
      </c>
      <c r="H114">
        <v>1.37</v>
      </c>
      <c r="I114" s="2">
        <v>46204.563576388886</v>
      </c>
    </row>
    <row r="115" spans="1:9" x14ac:dyDescent="0.25">
      <c r="A115">
        <v>129991804</v>
      </c>
      <c r="B115" s="2">
        <v>46208.583333333336</v>
      </c>
      <c r="C115" t="s">
        <v>18</v>
      </c>
      <c r="D115" t="s">
        <v>19</v>
      </c>
      <c r="E115" t="s">
        <v>67</v>
      </c>
      <c r="F115" t="s">
        <v>69</v>
      </c>
      <c r="G115">
        <v>3.1</v>
      </c>
      <c r="H115">
        <v>1.36</v>
      </c>
      <c r="I115" s="2">
        <v>46204.563032407408</v>
      </c>
    </row>
    <row r="116" spans="1:9" x14ac:dyDescent="0.25">
      <c r="A116">
        <v>129991804</v>
      </c>
      <c r="B116" s="2">
        <v>46208.583333333336</v>
      </c>
      <c r="C116" t="s">
        <v>18</v>
      </c>
      <c r="D116" t="s">
        <v>19</v>
      </c>
      <c r="E116" t="s">
        <v>70</v>
      </c>
      <c r="F116" t="s">
        <v>69</v>
      </c>
      <c r="G116">
        <v>3.1</v>
      </c>
      <c r="H116">
        <v>1.36</v>
      </c>
      <c r="I116" s="2">
        <v>46204.563715277778</v>
      </c>
    </row>
    <row r="117" spans="1:9" x14ac:dyDescent="0.25">
      <c r="A117">
        <v>129991804</v>
      </c>
      <c r="B117" s="2">
        <v>46208.583333333336</v>
      </c>
      <c r="C117" t="s">
        <v>18</v>
      </c>
      <c r="D117" t="s">
        <v>19</v>
      </c>
      <c r="E117" t="s">
        <v>65</v>
      </c>
      <c r="F117" t="s">
        <v>69</v>
      </c>
      <c r="G117">
        <v>3.1</v>
      </c>
      <c r="H117">
        <v>1.36</v>
      </c>
      <c r="I117" s="2">
        <v>46204.563564814816</v>
      </c>
    </row>
    <row r="118" spans="1:9" x14ac:dyDescent="0.25">
      <c r="A118">
        <v>129991804</v>
      </c>
      <c r="B118" s="2">
        <v>46208.583333333336</v>
      </c>
      <c r="C118" t="s">
        <v>18</v>
      </c>
      <c r="D118" t="s">
        <v>19</v>
      </c>
      <c r="E118" t="s">
        <v>71</v>
      </c>
      <c r="F118" t="s">
        <v>69</v>
      </c>
      <c r="G118">
        <v>3.1</v>
      </c>
      <c r="H118">
        <v>1.37</v>
      </c>
      <c r="I118" s="2">
        <v>46204.563715277778</v>
      </c>
    </row>
    <row r="119" spans="1:9" x14ac:dyDescent="0.25">
      <c r="A119">
        <v>129991804</v>
      </c>
      <c r="B119" s="2">
        <v>46208.583333333336</v>
      </c>
      <c r="C119" t="s">
        <v>18</v>
      </c>
      <c r="D119" t="s">
        <v>19</v>
      </c>
      <c r="E119" t="s">
        <v>73</v>
      </c>
      <c r="F119" t="s">
        <v>69</v>
      </c>
      <c r="G119">
        <v>3.1</v>
      </c>
      <c r="H119">
        <v>1.36</v>
      </c>
      <c r="I119" s="2">
        <v>46204.563437500001</v>
      </c>
    </row>
    <row r="120" spans="1:9" x14ac:dyDescent="0.25">
      <c r="A120">
        <v>129991804</v>
      </c>
      <c r="B120" s="2">
        <v>46208.583333333336</v>
      </c>
      <c r="C120" t="s">
        <v>18</v>
      </c>
      <c r="D120" t="s">
        <v>19</v>
      </c>
      <c r="E120" t="s">
        <v>72</v>
      </c>
      <c r="F120" t="s">
        <v>69</v>
      </c>
      <c r="G120">
        <v>3.15</v>
      </c>
      <c r="H120">
        <v>1.36</v>
      </c>
      <c r="I120" s="2">
        <v>46204.563715277778</v>
      </c>
    </row>
    <row r="121" spans="1:9" x14ac:dyDescent="0.25">
      <c r="A121">
        <v>129991804</v>
      </c>
      <c r="B121" s="2">
        <v>46208.583333333336</v>
      </c>
      <c r="C121" t="s">
        <v>18</v>
      </c>
      <c r="D121" t="s">
        <v>19</v>
      </c>
      <c r="E121" t="s">
        <v>64</v>
      </c>
      <c r="F121" t="s">
        <v>69</v>
      </c>
      <c r="G121">
        <v>3.3</v>
      </c>
      <c r="H121">
        <v>1.41</v>
      </c>
      <c r="I121" s="2">
        <v>46204.563715277778</v>
      </c>
    </row>
    <row r="122" spans="1:9" x14ac:dyDescent="0.25">
      <c r="A122">
        <v>129991804</v>
      </c>
      <c r="B122" s="2">
        <v>46208.583333333336</v>
      </c>
      <c r="C122" t="s">
        <v>18</v>
      </c>
      <c r="D122" t="s">
        <v>19</v>
      </c>
      <c r="E122" t="s">
        <v>66</v>
      </c>
      <c r="F122" t="s">
        <v>69</v>
      </c>
      <c r="G122">
        <v>3.15</v>
      </c>
      <c r="H122">
        <v>1.36</v>
      </c>
      <c r="I122" s="2">
        <v>46204.563715277778</v>
      </c>
    </row>
    <row r="123" spans="1:9" x14ac:dyDescent="0.25">
      <c r="A123">
        <v>129991805</v>
      </c>
      <c r="B123" s="2">
        <v>46208.670138888891</v>
      </c>
      <c r="C123" t="s">
        <v>17</v>
      </c>
      <c r="D123" t="s">
        <v>12</v>
      </c>
      <c r="E123" t="s">
        <v>61</v>
      </c>
      <c r="F123" t="s">
        <v>69</v>
      </c>
      <c r="G123">
        <v>1.96</v>
      </c>
      <c r="H123">
        <v>1.87</v>
      </c>
      <c r="I123" s="2">
        <v>46204.563032407408</v>
      </c>
    </row>
    <row r="124" spans="1:9" x14ac:dyDescent="0.25">
      <c r="A124">
        <v>129991805</v>
      </c>
      <c r="B124" s="2">
        <v>46208.670138888891</v>
      </c>
      <c r="C124" t="s">
        <v>17</v>
      </c>
      <c r="D124" t="s">
        <v>12</v>
      </c>
      <c r="E124" t="s">
        <v>62</v>
      </c>
      <c r="F124" t="s">
        <v>69</v>
      </c>
      <c r="G124">
        <v>1.95</v>
      </c>
      <c r="H124">
        <v>1.85</v>
      </c>
      <c r="I124" s="2">
        <v>46204.563321759262</v>
      </c>
    </row>
    <row r="125" spans="1:9" x14ac:dyDescent="0.25">
      <c r="A125">
        <v>129991805</v>
      </c>
      <c r="B125" s="2">
        <v>46208.670138888891</v>
      </c>
      <c r="C125" t="s">
        <v>17</v>
      </c>
      <c r="D125" t="s">
        <v>12</v>
      </c>
      <c r="E125" t="s">
        <v>63</v>
      </c>
      <c r="F125" t="s">
        <v>69</v>
      </c>
      <c r="G125">
        <v>1.95</v>
      </c>
      <c r="H125">
        <v>1.85</v>
      </c>
      <c r="I125" s="2">
        <v>46204.563576388886</v>
      </c>
    </row>
    <row r="126" spans="1:9" x14ac:dyDescent="0.25">
      <c r="A126">
        <v>129991805</v>
      </c>
      <c r="B126" s="2">
        <v>46208.670138888891</v>
      </c>
      <c r="C126" t="s">
        <v>17</v>
      </c>
      <c r="D126" t="s">
        <v>12</v>
      </c>
      <c r="E126" t="s">
        <v>67</v>
      </c>
      <c r="F126" t="s">
        <v>69</v>
      </c>
      <c r="G126">
        <v>1.95</v>
      </c>
      <c r="H126">
        <v>1.85</v>
      </c>
      <c r="I126" s="2">
        <v>46204.563032407408</v>
      </c>
    </row>
    <row r="127" spans="1:9" x14ac:dyDescent="0.25">
      <c r="A127">
        <v>129991805</v>
      </c>
      <c r="B127" s="2">
        <v>46208.670138888891</v>
      </c>
      <c r="C127" t="s">
        <v>17</v>
      </c>
      <c r="D127" t="s">
        <v>12</v>
      </c>
      <c r="E127" t="s">
        <v>65</v>
      </c>
      <c r="F127" t="s">
        <v>69</v>
      </c>
      <c r="G127">
        <v>1.95</v>
      </c>
      <c r="H127">
        <v>1.87</v>
      </c>
      <c r="I127" s="2">
        <v>46204.563564814816</v>
      </c>
    </row>
    <row r="128" spans="1:9" x14ac:dyDescent="0.25">
      <c r="A128">
        <v>129991805</v>
      </c>
      <c r="B128" s="2">
        <v>46208.670138888891</v>
      </c>
      <c r="C128" t="s">
        <v>17</v>
      </c>
      <c r="D128" t="s">
        <v>12</v>
      </c>
      <c r="E128" t="s">
        <v>70</v>
      </c>
      <c r="F128" t="s">
        <v>69</v>
      </c>
      <c r="G128">
        <v>1.95</v>
      </c>
      <c r="H128">
        <v>1.87</v>
      </c>
      <c r="I128" s="2">
        <v>46204.563715277778</v>
      </c>
    </row>
    <row r="129" spans="1:9" x14ac:dyDescent="0.25">
      <c r="A129">
        <v>129991805</v>
      </c>
      <c r="B129" s="2">
        <v>46208.670138888891</v>
      </c>
      <c r="C129" t="s">
        <v>17</v>
      </c>
      <c r="D129" t="s">
        <v>12</v>
      </c>
      <c r="E129" t="s">
        <v>64</v>
      </c>
      <c r="F129" t="s">
        <v>69</v>
      </c>
      <c r="G129">
        <v>2.02</v>
      </c>
      <c r="H129">
        <v>1.73</v>
      </c>
      <c r="I129" s="2">
        <v>46204.563715277778</v>
      </c>
    </row>
    <row r="130" spans="1:9" x14ac:dyDescent="0.25">
      <c r="A130">
        <v>129991805</v>
      </c>
      <c r="B130" s="2">
        <v>46208.670138888891</v>
      </c>
      <c r="C130" t="s">
        <v>17</v>
      </c>
      <c r="D130" t="s">
        <v>12</v>
      </c>
      <c r="E130" t="s">
        <v>66</v>
      </c>
      <c r="F130" t="s">
        <v>69</v>
      </c>
      <c r="G130">
        <v>2</v>
      </c>
      <c r="H130">
        <v>1.8</v>
      </c>
      <c r="I130" s="2">
        <v>46204.563715277778</v>
      </c>
    </row>
    <row r="131" spans="1:9" x14ac:dyDescent="0.25">
      <c r="A131">
        <v>129991805</v>
      </c>
      <c r="B131" s="2">
        <v>46208.670138888891</v>
      </c>
      <c r="C131" t="s">
        <v>17</v>
      </c>
      <c r="D131" t="s">
        <v>12</v>
      </c>
      <c r="E131" t="s">
        <v>71</v>
      </c>
      <c r="F131" t="s">
        <v>69</v>
      </c>
      <c r="G131">
        <v>1.95</v>
      </c>
      <c r="H131">
        <v>1.85</v>
      </c>
      <c r="I131" s="2">
        <v>46204.563715277778</v>
      </c>
    </row>
    <row r="132" spans="1:9" x14ac:dyDescent="0.25">
      <c r="A132">
        <v>129991805</v>
      </c>
      <c r="B132" s="2">
        <v>46208.670138888891</v>
      </c>
      <c r="C132" t="s">
        <v>17</v>
      </c>
      <c r="D132" t="s">
        <v>12</v>
      </c>
      <c r="E132" t="s">
        <v>72</v>
      </c>
      <c r="F132" t="s">
        <v>69</v>
      </c>
      <c r="G132">
        <v>1.97</v>
      </c>
      <c r="H132">
        <v>1.82</v>
      </c>
      <c r="I132" s="2">
        <v>46204.563715277778</v>
      </c>
    </row>
    <row r="133" spans="1:9" x14ac:dyDescent="0.25">
      <c r="A133">
        <v>129991805</v>
      </c>
      <c r="B133" s="2">
        <v>46208.670138888891</v>
      </c>
      <c r="C133" t="s">
        <v>17</v>
      </c>
      <c r="D133" t="s">
        <v>12</v>
      </c>
      <c r="E133" t="s">
        <v>73</v>
      </c>
      <c r="F133" t="s">
        <v>69</v>
      </c>
      <c r="G133">
        <v>1.98</v>
      </c>
      <c r="H133">
        <v>1.81</v>
      </c>
      <c r="I133" s="2">
        <v>46204.563437500001</v>
      </c>
    </row>
    <row r="134" spans="1:9" x14ac:dyDescent="0.25">
      <c r="A134">
        <v>129991701</v>
      </c>
      <c r="B134" s="2">
        <v>46198.826388888891</v>
      </c>
      <c r="C134" t="s">
        <v>18</v>
      </c>
      <c r="D134" t="s">
        <v>14</v>
      </c>
      <c r="E134" t="s">
        <v>61</v>
      </c>
      <c r="F134" t="s">
        <v>69</v>
      </c>
      <c r="G134">
        <v>2.4900000000000002</v>
      </c>
      <c r="H134">
        <v>1.54</v>
      </c>
      <c r="I134" s="2">
        <v>46196.721550925926</v>
      </c>
    </row>
    <row r="135" spans="1:9" x14ac:dyDescent="0.25">
      <c r="A135">
        <v>129991701</v>
      </c>
      <c r="B135" s="2">
        <v>46198.826388888891</v>
      </c>
      <c r="C135" t="s">
        <v>18</v>
      </c>
      <c r="D135" t="s">
        <v>14</v>
      </c>
      <c r="E135" t="s">
        <v>62</v>
      </c>
      <c r="F135" t="s">
        <v>69</v>
      </c>
      <c r="G135">
        <v>2.5</v>
      </c>
      <c r="H135">
        <v>1.53</v>
      </c>
      <c r="I135" s="2">
        <v>46196.721574074072</v>
      </c>
    </row>
    <row r="136" spans="1:9" x14ac:dyDescent="0.25">
      <c r="A136">
        <v>129991701</v>
      </c>
      <c r="B136" s="2">
        <v>46198.826388888891</v>
      </c>
      <c r="C136" t="s">
        <v>18</v>
      </c>
      <c r="D136" t="s">
        <v>14</v>
      </c>
      <c r="E136" t="s">
        <v>67</v>
      </c>
      <c r="F136" t="s">
        <v>69</v>
      </c>
      <c r="G136">
        <v>2.5499999999999998</v>
      </c>
      <c r="H136">
        <v>1.5</v>
      </c>
      <c r="I136" s="2">
        <v>46196.721689814818</v>
      </c>
    </row>
    <row r="137" spans="1:9" x14ac:dyDescent="0.25">
      <c r="A137">
        <v>129991701</v>
      </c>
      <c r="B137" s="2">
        <v>46198.826388888891</v>
      </c>
      <c r="C137" t="s">
        <v>18</v>
      </c>
      <c r="D137" t="s">
        <v>14</v>
      </c>
      <c r="E137" t="s">
        <v>65</v>
      </c>
      <c r="F137" t="s">
        <v>69</v>
      </c>
      <c r="G137">
        <v>2.5</v>
      </c>
      <c r="H137">
        <v>1.53</v>
      </c>
      <c r="I137" s="2">
        <v>46196.721967592595</v>
      </c>
    </row>
    <row r="138" spans="1:9" x14ac:dyDescent="0.25">
      <c r="A138">
        <v>129991701</v>
      </c>
      <c r="B138" s="2">
        <v>46198.826388888891</v>
      </c>
      <c r="C138" t="s">
        <v>18</v>
      </c>
      <c r="D138" t="s">
        <v>14</v>
      </c>
      <c r="E138" t="s">
        <v>70</v>
      </c>
      <c r="F138" t="s">
        <v>69</v>
      </c>
      <c r="G138">
        <v>2.5</v>
      </c>
      <c r="H138">
        <v>1.53</v>
      </c>
      <c r="I138" s="2">
        <v>46196.721550925926</v>
      </c>
    </row>
    <row r="139" spans="1:9" x14ac:dyDescent="0.25">
      <c r="A139">
        <v>129991701</v>
      </c>
      <c r="B139" s="2">
        <v>46198.826388888891</v>
      </c>
      <c r="C139" t="s">
        <v>18</v>
      </c>
      <c r="D139" t="s">
        <v>14</v>
      </c>
      <c r="E139" t="s">
        <v>64</v>
      </c>
      <c r="F139" t="s">
        <v>69</v>
      </c>
      <c r="G139">
        <v>2</v>
      </c>
      <c r="H139">
        <v>1.56</v>
      </c>
      <c r="I139" s="2">
        <v>46196.722245370373</v>
      </c>
    </row>
    <row r="140" spans="1:9" x14ac:dyDescent="0.25">
      <c r="A140">
        <v>129991701</v>
      </c>
      <c r="B140" s="2">
        <v>46198.826388888891</v>
      </c>
      <c r="C140" t="s">
        <v>18</v>
      </c>
      <c r="D140" t="s">
        <v>14</v>
      </c>
      <c r="E140" t="s">
        <v>71</v>
      </c>
      <c r="F140" t="s">
        <v>69</v>
      </c>
      <c r="G140">
        <v>2.5</v>
      </c>
      <c r="H140">
        <v>1.53</v>
      </c>
      <c r="I140" s="2">
        <v>46196.72142361111</v>
      </c>
    </row>
    <row r="141" spans="1:9" x14ac:dyDescent="0.25">
      <c r="A141">
        <v>129991701</v>
      </c>
      <c r="B141" s="2">
        <v>46198.826388888891</v>
      </c>
      <c r="C141" t="s">
        <v>18</v>
      </c>
      <c r="D141" t="s">
        <v>14</v>
      </c>
      <c r="E141" t="s">
        <v>66</v>
      </c>
      <c r="F141" t="s">
        <v>69</v>
      </c>
      <c r="G141">
        <v>2.4500000000000002</v>
      </c>
      <c r="H141">
        <v>1.55</v>
      </c>
      <c r="I141" s="2">
        <v>46196.721550925926</v>
      </c>
    </row>
    <row r="142" spans="1:9" x14ac:dyDescent="0.25">
      <c r="A142">
        <v>129991701</v>
      </c>
      <c r="B142" s="2">
        <v>46198.826388888891</v>
      </c>
      <c r="C142" t="s">
        <v>18</v>
      </c>
      <c r="D142" t="s">
        <v>14</v>
      </c>
      <c r="E142" t="s">
        <v>63</v>
      </c>
      <c r="F142" t="s">
        <v>69</v>
      </c>
      <c r="G142">
        <v>2.5</v>
      </c>
      <c r="H142">
        <v>1.53</v>
      </c>
      <c r="I142" s="2">
        <v>46196.721562500003</v>
      </c>
    </row>
    <row r="143" spans="1:9" x14ac:dyDescent="0.25">
      <c r="A143">
        <v>129991701</v>
      </c>
      <c r="B143" s="2">
        <v>46198.826388888891</v>
      </c>
      <c r="C143" t="s">
        <v>18</v>
      </c>
      <c r="D143" t="s">
        <v>14</v>
      </c>
      <c r="E143" t="s">
        <v>72</v>
      </c>
      <c r="F143" t="s">
        <v>69</v>
      </c>
      <c r="G143">
        <v>2.5</v>
      </c>
      <c r="H143">
        <v>1.53</v>
      </c>
      <c r="I143" s="2">
        <v>46196.721967592595</v>
      </c>
    </row>
    <row r="144" spans="1:9" x14ac:dyDescent="0.25">
      <c r="A144">
        <v>129991701</v>
      </c>
      <c r="B144" s="2">
        <v>46198.826388888891</v>
      </c>
      <c r="C144" t="s">
        <v>18</v>
      </c>
      <c r="D144" t="s">
        <v>14</v>
      </c>
      <c r="E144" t="s">
        <v>73</v>
      </c>
      <c r="F144" t="s">
        <v>69</v>
      </c>
      <c r="G144">
        <v>2.48</v>
      </c>
      <c r="H144">
        <v>1.52</v>
      </c>
      <c r="I144" s="2">
        <v>46196.721562500003</v>
      </c>
    </row>
    <row r="145" spans="1:9" x14ac:dyDescent="0.25">
      <c r="A145">
        <v>129991702</v>
      </c>
      <c r="B145" s="2">
        <v>46199.75</v>
      </c>
      <c r="C145" t="s">
        <v>22</v>
      </c>
      <c r="D145" t="s">
        <v>8</v>
      </c>
      <c r="E145" t="s">
        <v>61</v>
      </c>
      <c r="F145" t="s">
        <v>69</v>
      </c>
      <c r="G145">
        <v>1.92</v>
      </c>
      <c r="H145">
        <v>1.92</v>
      </c>
      <c r="I145" s="2">
        <v>46196.721550925926</v>
      </c>
    </row>
    <row r="146" spans="1:9" x14ac:dyDescent="0.25">
      <c r="A146">
        <v>129991702</v>
      </c>
      <c r="B146" s="2">
        <v>46199.75</v>
      </c>
      <c r="C146" t="s">
        <v>22</v>
      </c>
      <c r="D146" t="s">
        <v>8</v>
      </c>
      <c r="E146" t="s">
        <v>63</v>
      </c>
      <c r="F146" t="s">
        <v>69</v>
      </c>
      <c r="G146">
        <v>2</v>
      </c>
      <c r="H146">
        <v>1.82</v>
      </c>
      <c r="I146" s="2">
        <v>46196.721562500003</v>
      </c>
    </row>
    <row r="147" spans="1:9" x14ac:dyDescent="0.25">
      <c r="A147">
        <v>129991702</v>
      </c>
      <c r="B147" s="2">
        <v>46199.75</v>
      </c>
      <c r="C147" t="s">
        <v>22</v>
      </c>
      <c r="D147" t="s">
        <v>8</v>
      </c>
      <c r="E147" t="s">
        <v>66</v>
      </c>
      <c r="F147" t="s">
        <v>69</v>
      </c>
      <c r="G147">
        <v>1.9</v>
      </c>
      <c r="H147">
        <v>1.9</v>
      </c>
      <c r="I147" s="2">
        <v>46196.721550925926</v>
      </c>
    </row>
    <row r="148" spans="1:9" x14ac:dyDescent="0.25">
      <c r="A148">
        <v>129991702</v>
      </c>
      <c r="B148" s="2">
        <v>46199.75</v>
      </c>
      <c r="C148" t="s">
        <v>22</v>
      </c>
      <c r="D148" t="s">
        <v>8</v>
      </c>
      <c r="E148" t="s">
        <v>62</v>
      </c>
      <c r="F148" t="s">
        <v>69</v>
      </c>
      <c r="G148">
        <v>1.9</v>
      </c>
      <c r="H148">
        <v>1.9</v>
      </c>
      <c r="I148" s="2">
        <v>46196.721574074072</v>
      </c>
    </row>
    <row r="149" spans="1:9" x14ac:dyDescent="0.25">
      <c r="A149">
        <v>129991702</v>
      </c>
      <c r="B149" s="2">
        <v>46199.75</v>
      </c>
      <c r="C149" t="s">
        <v>22</v>
      </c>
      <c r="D149" t="s">
        <v>8</v>
      </c>
      <c r="E149" t="s">
        <v>67</v>
      </c>
      <c r="F149" t="s">
        <v>69</v>
      </c>
      <c r="G149">
        <v>1.95</v>
      </c>
      <c r="H149">
        <v>1.85</v>
      </c>
      <c r="I149" s="2">
        <v>46196.721689814818</v>
      </c>
    </row>
    <row r="150" spans="1:9" x14ac:dyDescent="0.25">
      <c r="A150">
        <v>129991702</v>
      </c>
      <c r="B150" s="2">
        <v>46199.75</v>
      </c>
      <c r="C150" t="s">
        <v>22</v>
      </c>
      <c r="D150" t="s">
        <v>8</v>
      </c>
      <c r="E150" t="s">
        <v>70</v>
      </c>
      <c r="F150" t="s">
        <v>69</v>
      </c>
      <c r="G150">
        <v>1.92</v>
      </c>
      <c r="H150">
        <v>1.88</v>
      </c>
      <c r="I150" s="2">
        <v>46196.721550925926</v>
      </c>
    </row>
    <row r="151" spans="1:9" x14ac:dyDescent="0.25">
      <c r="A151">
        <v>129991702</v>
      </c>
      <c r="B151" s="2">
        <v>46199.75</v>
      </c>
      <c r="C151" t="s">
        <v>22</v>
      </c>
      <c r="D151" t="s">
        <v>8</v>
      </c>
      <c r="E151" t="s">
        <v>65</v>
      </c>
      <c r="F151" t="s">
        <v>69</v>
      </c>
      <c r="G151">
        <v>1.92</v>
      </c>
      <c r="H151">
        <v>1.88</v>
      </c>
      <c r="I151" s="2">
        <v>46196.721967592595</v>
      </c>
    </row>
    <row r="152" spans="1:9" x14ac:dyDescent="0.25">
      <c r="A152">
        <v>129991702</v>
      </c>
      <c r="B152" s="2">
        <v>46199.75</v>
      </c>
      <c r="C152" t="s">
        <v>22</v>
      </c>
      <c r="D152" t="s">
        <v>8</v>
      </c>
      <c r="E152" t="s">
        <v>64</v>
      </c>
      <c r="F152" t="s">
        <v>69</v>
      </c>
      <c r="G152">
        <v>1.97</v>
      </c>
      <c r="H152">
        <v>1.93</v>
      </c>
      <c r="I152" s="2">
        <v>46196.722245370373</v>
      </c>
    </row>
    <row r="153" spans="1:9" x14ac:dyDescent="0.25">
      <c r="A153">
        <v>129991702</v>
      </c>
      <c r="B153" s="2">
        <v>46199.75</v>
      </c>
      <c r="C153" t="s">
        <v>22</v>
      </c>
      <c r="D153" t="s">
        <v>8</v>
      </c>
      <c r="E153" t="s">
        <v>71</v>
      </c>
      <c r="F153" t="s">
        <v>69</v>
      </c>
      <c r="G153">
        <v>1.95</v>
      </c>
      <c r="H153">
        <v>1.85</v>
      </c>
      <c r="I153" s="2">
        <v>46196.72142361111</v>
      </c>
    </row>
    <row r="154" spans="1:9" x14ac:dyDescent="0.25">
      <c r="A154">
        <v>129991702</v>
      </c>
      <c r="B154" s="2">
        <v>46199.75</v>
      </c>
      <c r="C154" t="s">
        <v>22</v>
      </c>
      <c r="D154" t="s">
        <v>8</v>
      </c>
      <c r="E154" t="s">
        <v>73</v>
      </c>
      <c r="F154" t="s">
        <v>69</v>
      </c>
      <c r="G154">
        <v>1.93</v>
      </c>
      <c r="H154">
        <v>1.85</v>
      </c>
      <c r="I154" s="2">
        <v>46196.721562500003</v>
      </c>
    </row>
    <row r="155" spans="1:9" x14ac:dyDescent="0.25">
      <c r="A155">
        <v>129991702</v>
      </c>
      <c r="B155" s="2">
        <v>46199.75</v>
      </c>
      <c r="C155" t="s">
        <v>22</v>
      </c>
      <c r="D155" t="s">
        <v>8</v>
      </c>
      <c r="E155" t="s">
        <v>72</v>
      </c>
      <c r="F155" t="s">
        <v>69</v>
      </c>
      <c r="G155">
        <v>1.93</v>
      </c>
      <c r="H155">
        <v>1.85</v>
      </c>
      <c r="I155" s="2">
        <v>46196.721967592595</v>
      </c>
    </row>
    <row r="156" spans="1:9" x14ac:dyDescent="0.25">
      <c r="A156">
        <v>129991703</v>
      </c>
      <c r="B156" s="2">
        <v>46199.833333333336</v>
      </c>
      <c r="C156" t="s">
        <v>9</v>
      </c>
      <c r="D156" t="s">
        <v>10</v>
      </c>
      <c r="E156" t="s">
        <v>61</v>
      </c>
      <c r="F156" t="s">
        <v>69</v>
      </c>
      <c r="G156">
        <v>2.66</v>
      </c>
      <c r="H156">
        <v>1.48</v>
      </c>
      <c r="I156" s="2">
        <v>46196.721550925926</v>
      </c>
    </row>
    <row r="157" spans="1:9" x14ac:dyDescent="0.25">
      <c r="A157">
        <v>129991703</v>
      </c>
      <c r="B157" s="2">
        <v>46199.833333333336</v>
      </c>
      <c r="C157" t="s">
        <v>9</v>
      </c>
      <c r="D157" t="s">
        <v>10</v>
      </c>
      <c r="E157" t="s">
        <v>66</v>
      </c>
      <c r="F157" t="s">
        <v>69</v>
      </c>
      <c r="G157">
        <v>2.6</v>
      </c>
      <c r="H157">
        <v>1.5</v>
      </c>
      <c r="I157" s="2">
        <v>46196.721550925926</v>
      </c>
    </row>
    <row r="158" spans="1:9" x14ac:dyDescent="0.25">
      <c r="A158">
        <v>129991703</v>
      </c>
      <c r="B158" s="2">
        <v>46199.833333333336</v>
      </c>
      <c r="C158" t="s">
        <v>9</v>
      </c>
      <c r="D158" t="s">
        <v>10</v>
      </c>
      <c r="E158" t="s">
        <v>63</v>
      </c>
      <c r="F158" t="s">
        <v>69</v>
      </c>
      <c r="G158">
        <v>2.65</v>
      </c>
      <c r="H158">
        <v>1.48</v>
      </c>
      <c r="I158" s="2">
        <v>46196.721562500003</v>
      </c>
    </row>
    <row r="159" spans="1:9" x14ac:dyDescent="0.25">
      <c r="A159">
        <v>129991703</v>
      </c>
      <c r="B159" s="2">
        <v>46199.833333333336</v>
      </c>
      <c r="C159" t="s">
        <v>9</v>
      </c>
      <c r="D159" t="s">
        <v>10</v>
      </c>
      <c r="E159" t="s">
        <v>62</v>
      </c>
      <c r="F159" t="s">
        <v>69</v>
      </c>
      <c r="G159">
        <v>2.7</v>
      </c>
      <c r="H159">
        <v>1.47</v>
      </c>
      <c r="I159" s="2">
        <v>46196.721574074072</v>
      </c>
    </row>
    <row r="160" spans="1:9" x14ac:dyDescent="0.25">
      <c r="A160">
        <v>129991703</v>
      </c>
      <c r="B160" s="2">
        <v>46199.833333333336</v>
      </c>
      <c r="C160" t="s">
        <v>9</v>
      </c>
      <c r="D160" t="s">
        <v>10</v>
      </c>
      <c r="E160" t="s">
        <v>67</v>
      </c>
      <c r="F160" t="s">
        <v>69</v>
      </c>
      <c r="G160">
        <v>2.7</v>
      </c>
      <c r="H160">
        <v>1.45</v>
      </c>
      <c r="I160" s="2">
        <v>46196.721689814818</v>
      </c>
    </row>
    <row r="161" spans="1:9" x14ac:dyDescent="0.25">
      <c r="A161">
        <v>129991703</v>
      </c>
      <c r="B161" s="2">
        <v>46199.833333333336</v>
      </c>
      <c r="C161" t="s">
        <v>9</v>
      </c>
      <c r="D161" t="s">
        <v>10</v>
      </c>
      <c r="E161" t="s">
        <v>70</v>
      </c>
      <c r="F161" t="s">
        <v>69</v>
      </c>
      <c r="G161">
        <v>2.65</v>
      </c>
      <c r="H161">
        <v>1.5</v>
      </c>
      <c r="I161" s="2">
        <v>46196.721550925926</v>
      </c>
    </row>
    <row r="162" spans="1:9" x14ac:dyDescent="0.25">
      <c r="A162">
        <v>129991703</v>
      </c>
      <c r="B162" s="2">
        <v>46199.833333333336</v>
      </c>
      <c r="C162" t="s">
        <v>9</v>
      </c>
      <c r="D162" t="s">
        <v>10</v>
      </c>
      <c r="E162" t="s">
        <v>65</v>
      </c>
      <c r="F162" t="s">
        <v>69</v>
      </c>
      <c r="G162">
        <v>2.65</v>
      </c>
      <c r="H162">
        <v>1.5</v>
      </c>
      <c r="I162" s="2">
        <v>46196.721967592595</v>
      </c>
    </row>
    <row r="163" spans="1:9" x14ac:dyDescent="0.25">
      <c r="A163">
        <v>129991703</v>
      </c>
      <c r="B163" s="2">
        <v>46199.833333333336</v>
      </c>
      <c r="C163" t="s">
        <v>9</v>
      </c>
      <c r="D163" t="s">
        <v>10</v>
      </c>
      <c r="E163" t="s">
        <v>64</v>
      </c>
      <c r="F163" t="s">
        <v>69</v>
      </c>
      <c r="G163">
        <v>2.2799999999999998</v>
      </c>
      <c r="H163">
        <v>1.4</v>
      </c>
      <c r="I163" s="2">
        <v>46196.722245370373</v>
      </c>
    </row>
    <row r="164" spans="1:9" x14ac:dyDescent="0.25">
      <c r="A164">
        <v>129991703</v>
      </c>
      <c r="B164" s="2">
        <v>46199.833333333336</v>
      </c>
      <c r="C164" t="s">
        <v>9</v>
      </c>
      <c r="D164" t="s">
        <v>10</v>
      </c>
      <c r="E164" t="s">
        <v>71</v>
      </c>
      <c r="F164" t="s">
        <v>69</v>
      </c>
      <c r="G164">
        <v>2.4500000000000002</v>
      </c>
      <c r="H164">
        <v>1.55</v>
      </c>
      <c r="I164" s="2">
        <v>46196.72142361111</v>
      </c>
    </row>
    <row r="165" spans="1:9" x14ac:dyDescent="0.25">
      <c r="A165">
        <v>129991703</v>
      </c>
      <c r="B165" s="2">
        <v>46199.833333333336</v>
      </c>
      <c r="C165" t="s">
        <v>9</v>
      </c>
      <c r="D165" t="s">
        <v>10</v>
      </c>
      <c r="E165" t="s">
        <v>72</v>
      </c>
      <c r="F165" t="s">
        <v>69</v>
      </c>
      <c r="G165">
        <v>2.7</v>
      </c>
      <c r="H165">
        <v>1.47</v>
      </c>
      <c r="I165" s="2">
        <v>46196.721967592595</v>
      </c>
    </row>
    <row r="166" spans="1:9" x14ac:dyDescent="0.25">
      <c r="A166">
        <v>129991703</v>
      </c>
      <c r="B166" s="2">
        <v>46199.833333333336</v>
      </c>
      <c r="C166" t="s">
        <v>9</v>
      </c>
      <c r="D166" t="s">
        <v>10</v>
      </c>
      <c r="E166" t="s">
        <v>73</v>
      </c>
      <c r="F166" t="s">
        <v>69</v>
      </c>
      <c r="G166">
        <v>2.65</v>
      </c>
      <c r="H166">
        <v>1.46</v>
      </c>
      <c r="I166" s="2">
        <v>46196.721562500003</v>
      </c>
    </row>
    <row r="167" spans="1:9" x14ac:dyDescent="0.25">
      <c r="A167">
        <v>129991704</v>
      </c>
      <c r="B167" s="2">
        <v>46200.625</v>
      </c>
      <c r="C167" t="s">
        <v>12</v>
      </c>
      <c r="D167" t="s">
        <v>13</v>
      </c>
      <c r="E167" t="s">
        <v>61</v>
      </c>
      <c r="F167" t="s">
        <v>69</v>
      </c>
      <c r="G167">
        <v>1.45</v>
      </c>
      <c r="H167">
        <v>2.78</v>
      </c>
      <c r="I167" s="2">
        <v>46196.721550925926</v>
      </c>
    </row>
    <row r="168" spans="1:9" x14ac:dyDescent="0.25">
      <c r="A168">
        <v>129991704</v>
      </c>
      <c r="B168" s="2">
        <v>46200.625</v>
      </c>
      <c r="C168" t="s">
        <v>12</v>
      </c>
      <c r="D168" t="s">
        <v>13</v>
      </c>
      <c r="E168" t="s">
        <v>63</v>
      </c>
      <c r="F168" t="s">
        <v>69</v>
      </c>
      <c r="G168">
        <v>1.5</v>
      </c>
      <c r="H168">
        <v>2.6</v>
      </c>
      <c r="I168" s="2">
        <v>46196.721562500003</v>
      </c>
    </row>
    <row r="169" spans="1:9" x14ac:dyDescent="0.25">
      <c r="A169">
        <v>129991704</v>
      </c>
      <c r="B169" s="2">
        <v>46200.625</v>
      </c>
      <c r="C169" t="s">
        <v>12</v>
      </c>
      <c r="D169" t="s">
        <v>13</v>
      </c>
      <c r="E169" t="s">
        <v>66</v>
      </c>
      <c r="F169" t="s">
        <v>69</v>
      </c>
      <c r="G169">
        <v>1.53</v>
      </c>
      <c r="H169">
        <v>2.5</v>
      </c>
      <c r="I169" s="2">
        <v>46196.721550925926</v>
      </c>
    </row>
    <row r="170" spans="1:9" x14ac:dyDescent="0.25">
      <c r="A170">
        <v>129991704</v>
      </c>
      <c r="B170" s="2">
        <v>46200.625</v>
      </c>
      <c r="C170" t="s">
        <v>12</v>
      </c>
      <c r="D170" t="s">
        <v>13</v>
      </c>
      <c r="E170" t="s">
        <v>62</v>
      </c>
      <c r="F170" t="s">
        <v>69</v>
      </c>
      <c r="G170">
        <v>1.43</v>
      </c>
      <c r="H170">
        <v>2.85</v>
      </c>
      <c r="I170" s="2">
        <v>46196.721574074072</v>
      </c>
    </row>
    <row r="171" spans="1:9" x14ac:dyDescent="0.25">
      <c r="A171">
        <v>129991704</v>
      </c>
      <c r="B171" s="2">
        <v>46200.625</v>
      </c>
      <c r="C171" t="s">
        <v>12</v>
      </c>
      <c r="D171" t="s">
        <v>13</v>
      </c>
      <c r="E171" t="s">
        <v>67</v>
      </c>
      <c r="F171" t="s">
        <v>69</v>
      </c>
      <c r="G171">
        <v>1.5</v>
      </c>
      <c r="H171">
        <v>2.5499999999999998</v>
      </c>
      <c r="I171" s="2">
        <v>46196.721689814818</v>
      </c>
    </row>
    <row r="172" spans="1:9" x14ac:dyDescent="0.25">
      <c r="A172">
        <v>129991704</v>
      </c>
      <c r="B172" s="2">
        <v>46200.625</v>
      </c>
      <c r="C172" t="s">
        <v>12</v>
      </c>
      <c r="D172" t="s">
        <v>13</v>
      </c>
      <c r="E172" t="s">
        <v>70</v>
      </c>
      <c r="F172" t="s">
        <v>69</v>
      </c>
      <c r="G172">
        <v>1.48</v>
      </c>
      <c r="H172">
        <v>2.65</v>
      </c>
      <c r="I172" s="2">
        <v>46196.721550925926</v>
      </c>
    </row>
    <row r="173" spans="1:9" x14ac:dyDescent="0.25">
      <c r="A173">
        <v>129991704</v>
      </c>
      <c r="B173" s="2">
        <v>46200.625</v>
      </c>
      <c r="C173" t="s">
        <v>12</v>
      </c>
      <c r="D173" t="s">
        <v>13</v>
      </c>
      <c r="E173" t="s">
        <v>65</v>
      </c>
      <c r="F173" t="s">
        <v>69</v>
      </c>
      <c r="G173">
        <v>1.48</v>
      </c>
      <c r="H173">
        <v>2.65</v>
      </c>
      <c r="I173" s="2">
        <v>46196.721967592595</v>
      </c>
    </row>
    <row r="174" spans="1:9" x14ac:dyDescent="0.25">
      <c r="A174">
        <v>129991704</v>
      </c>
      <c r="B174" s="2">
        <v>46200.625</v>
      </c>
      <c r="C174" t="s">
        <v>12</v>
      </c>
      <c r="D174" t="s">
        <v>13</v>
      </c>
      <c r="E174" t="s">
        <v>64</v>
      </c>
      <c r="F174" t="s">
        <v>69</v>
      </c>
      <c r="G174">
        <v>1.01</v>
      </c>
      <c r="H174">
        <v>2.2799999999999998</v>
      </c>
      <c r="I174" s="2">
        <v>46196.722245370373</v>
      </c>
    </row>
    <row r="175" spans="1:9" x14ac:dyDescent="0.25">
      <c r="A175">
        <v>129991704</v>
      </c>
      <c r="B175" s="2">
        <v>46200.625</v>
      </c>
      <c r="C175" t="s">
        <v>12</v>
      </c>
      <c r="D175" t="s">
        <v>13</v>
      </c>
      <c r="E175" t="s">
        <v>71</v>
      </c>
      <c r="F175" t="s">
        <v>69</v>
      </c>
      <c r="G175">
        <v>1.53</v>
      </c>
      <c r="H175">
        <v>2.5</v>
      </c>
      <c r="I175" s="2">
        <v>46196.72142361111</v>
      </c>
    </row>
    <row r="176" spans="1:9" x14ac:dyDescent="0.25">
      <c r="A176">
        <v>129991704</v>
      </c>
      <c r="B176" s="2">
        <v>46200.625</v>
      </c>
      <c r="C176" t="s">
        <v>12</v>
      </c>
      <c r="D176" t="s">
        <v>13</v>
      </c>
      <c r="E176" t="s">
        <v>72</v>
      </c>
      <c r="F176" t="s">
        <v>69</v>
      </c>
      <c r="G176">
        <v>1.5</v>
      </c>
      <c r="H176">
        <v>2.6</v>
      </c>
      <c r="I176" s="2">
        <v>46196.721967592595</v>
      </c>
    </row>
    <row r="177" spans="1:9" x14ac:dyDescent="0.25">
      <c r="A177">
        <v>129991704</v>
      </c>
      <c r="B177" s="2">
        <v>46200.625</v>
      </c>
      <c r="C177" t="s">
        <v>12</v>
      </c>
      <c r="D177" t="s">
        <v>13</v>
      </c>
      <c r="E177" t="s">
        <v>73</v>
      </c>
      <c r="F177" t="s">
        <v>69</v>
      </c>
      <c r="G177">
        <v>1.49</v>
      </c>
      <c r="H177">
        <v>2.5499999999999998</v>
      </c>
      <c r="I177" s="2">
        <v>46196.721562500003</v>
      </c>
    </row>
    <row r="178" spans="1:9" x14ac:dyDescent="0.25">
      <c r="A178">
        <v>129991705</v>
      </c>
      <c r="B178" s="2">
        <v>46200.729166666664</v>
      </c>
      <c r="C178" t="s">
        <v>7</v>
      </c>
      <c r="D178" t="s">
        <v>16</v>
      </c>
      <c r="E178" t="s">
        <v>61</v>
      </c>
      <c r="F178" t="s">
        <v>69</v>
      </c>
      <c r="G178">
        <v>4.3499999999999996</v>
      </c>
      <c r="H178">
        <v>1.22</v>
      </c>
      <c r="I178" s="2">
        <v>46196.721550925926</v>
      </c>
    </row>
    <row r="179" spans="1:9" x14ac:dyDescent="0.25">
      <c r="A179">
        <v>129991705</v>
      </c>
      <c r="B179" s="2">
        <v>46200.729166666664</v>
      </c>
      <c r="C179" t="s">
        <v>7</v>
      </c>
      <c r="D179" t="s">
        <v>16</v>
      </c>
      <c r="E179" t="s">
        <v>62</v>
      </c>
      <c r="F179" t="s">
        <v>69</v>
      </c>
      <c r="G179">
        <v>3.8</v>
      </c>
      <c r="H179">
        <v>1.27</v>
      </c>
      <c r="I179" s="2">
        <v>46196.721574074072</v>
      </c>
    </row>
    <row r="180" spans="1:9" x14ac:dyDescent="0.25">
      <c r="A180">
        <v>129991705</v>
      </c>
      <c r="B180" s="2">
        <v>46200.729166666664</v>
      </c>
      <c r="C180" t="s">
        <v>7</v>
      </c>
      <c r="D180" t="s">
        <v>16</v>
      </c>
      <c r="E180" t="s">
        <v>67</v>
      </c>
      <c r="F180" t="s">
        <v>69</v>
      </c>
      <c r="G180">
        <v>3.6</v>
      </c>
      <c r="H180">
        <v>1.28</v>
      </c>
      <c r="I180" s="2">
        <v>46196.721689814818</v>
      </c>
    </row>
    <row r="181" spans="1:9" x14ac:dyDescent="0.25">
      <c r="A181">
        <v>129991705</v>
      </c>
      <c r="B181" s="2">
        <v>46200.729166666664</v>
      </c>
      <c r="C181" t="s">
        <v>7</v>
      </c>
      <c r="D181" t="s">
        <v>16</v>
      </c>
      <c r="E181" t="s">
        <v>70</v>
      </c>
      <c r="F181" t="s">
        <v>69</v>
      </c>
      <c r="G181">
        <v>3.9</v>
      </c>
      <c r="H181">
        <v>1.26</v>
      </c>
      <c r="I181" s="2">
        <v>46196.721550925926</v>
      </c>
    </row>
    <row r="182" spans="1:9" x14ac:dyDescent="0.25">
      <c r="A182">
        <v>129991705</v>
      </c>
      <c r="B182" s="2">
        <v>46200.729166666664</v>
      </c>
      <c r="C182" t="s">
        <v>7</v>
      </c>
      <c r="D182" t="s">
        <v>16</v>
      </c>
      <c r="E182" t="s">
        <v>65</v>
      </c>
      <c r="F182" t="s">
        <v>69</v>
      </c>
      <c r="G182">
        <v>3.9</v>
      </c>
      <c r="H182">
        <v>1.26</v>
      </c>
      <c r="I182" s="2">
        <v>46196.721967592595</v>
      </c>
    </row>
    <row r="183" spans="1:9" x14ac:dyDescent="0.25">
      <c r="A183">
        <v>129991705</v>
      </c>
      <c r="B183" s="2">
        <v>46200.729166666664</v>
      </c>
      <c r="C183" t="s">
        <v>7</v>
      </c>
      <c r="D183" t="s">
        <v>16</v>
      </c>
      <c r="E183" t="s">
        <v>63</v>
      </c>
      <c r="F183" t="s">
        <v>69</v>
      </c>
      <c r="G183">
        <v>3.8</v>
      </c>
      <c r="H183">
        <v>1.27</v>
      </c>
      <c r="I183" s="2">
        <v>46196.721562500003</v>
      </c>
    </row>
    <row r="184" spans="1:9" x14ac:dyDescent="0.25">
      <c r="A184">
        <v>129991705</v>
      </c>
      <c r="B184" s="2">
        <v>46200.729166666664</v>
      </c>
      <c r="C184" t="s">
        <v>7</v>
      </c>
      <c r="D184" t="s">
        <v>16</v>
      </c>
      <c r="E184" t="s">
        <v>66</v>
      </c>
      <c r="F184" t="s">
        <v>69</v>
      </c>
      <c r="G184">
        <v>4</v>
      </c>
      <c r="H184">
        <v>1.25</v>
      </c>
      <c r="I184" s="2">
        <v>46196.721550925926</v>
      </c>
    </row>
    <row r="185" spans="1:9" x14ac:dyDescent="0.25">
      <c r="A185">
        <v>129991705</v>
      </c>
      <c r="B185" s="2">
        <v>46200.729166666664</v>
      </c>
      <c r="C185" t="s">
        <v>7</v>
      </c>
      <c r="D185" t="s">
        <v>16</v>
      </c>
      <c r="E185" t="s">
        <v>64</v>
      </c>
      <c r="F185" t="s">
        <v>69</v>
      </c>
      <c r="G185">
        <v>3.85</v>
      </c>
      <c r="H185">
        <v>1.31</v>
      </c>
      <c r="I185" s="2">
        <v>46196.722245370373</v>
      </c>
    </row>
    <row r="186" spans="1:9" x14ac:dyDescent="0.25">
      <c r="A186">
        <v>129991705</v>
      </c>
      <c r="B186" s="2">
        <v>46200.729166666664</v>
      </c>
      <c r="C186" t="s">
        <v>7</v>
      </c>
      <c r="D186" t="s">
        <v>16</v>
      </c>
      <c r="E186" t="s">
        <v>71</v>
      </c>
      <c r="F186" t="s">
        <v>69</v>
      </c>
      <c r="G186">
        <v>3.6</v>
      </c>
      <c r="H186">
        <v>1.29</v>
      </c>
      <c r="I186" s="2">
        <v>46196.72142361111</v>
      </c>
    </row>
    <row r="187" spans="1:9" x14ac:dyDescent="0.25">
      <c r="A187">
        <v>129991705</v>
      </c>
      <c r="B187" s="2">
        <v>46200.729166666664</v>
      </c>
      <c r="C187" t="s">
        <v>7</v>
      </c>
      <c r="D187" t="s">
        <v>16</v>
      </c>
      <c r="E187" t="s">
        <v>72</v>
      </c>
      <c r="F187" t="s">
        <v>69</v>
      </c>
      <c r="G187">
        <v>3.6</v>
      </c>
      <c r="H187">
        <v>1.29</v>
      </c>
      <c r="I187" s="2">
        <v>46196.721967592595</v>
      </c>
    </row>
    <row r="188" spans="1:9" x14ac:dyDescent="0.25">
      <c r="A188">
        <v>129991705</v>
      </c>
      <c r="B188" s="2">
        <v>46200.729166666664</v>
      </c>
      <c r="C188" t="s">
        <v>7</v>
      </c>
      <c r="D188" t="s">
        <v>16</v>
      </c>
      <c r="E188" t="s">
        <v>73</v>
      </c>
      <c r="F188" t="s">
        <v>69</v>
      </c>
      <c r="G188">
        <v>3.55</v>
      </c>
      <c r="H188">
        <v>1.29</v>
      </c>
      <c r="I188" s="2">
        <v>46196.721562500003</v>
      </c>
    </row>
    <row r="189" spans="1:9" x14ac:dyDescent="0.25">
      <c r="A189">
        <v>129991706</v>
      </c>
      <c r="B189" s="2">
        <v>46200.815972222219</v>
      </c>
      <c r="C189" t="s">
        <v>19</v>
      </c>
      <c r="D189" t="s">
        <v>15</v>
      </c>
      <c r="E189" t="s">
        <v>61</v>
      </c>
      <c r="F189" t="s">
        <v>69</v>
      </c>
      <c r="G189">
        <v>1.47</v>
      </c>
      <c r="H189">
        <v>2.67</v>
      </c>
      <c r="I189" s="2">
        <v>46196.721550925926</v>
      </c>
    </row>
    <row r="190" spans="1:9" x14ac:dyDescent="0.25">
      <c r="A190">
        <v>129991706</v>
      </c>
      <c r="B190" s="2">
        <v>46200.815972222219</v>
      </c>
      <c r="C190" t="s">
        <v>19</v>
      </c>
      <c r="D190" t="s">
        <v>15</v>
      </c>
      <c r="E190" t="s">
        <v>62</v>
      </c>
      <c r="F190" t="s">
        <v>69</v>
      </c>
      <c r="G190">
        <v>1.48</v>
      </c>
      <c r="H190">
        <v>2.65</v>
      </c>
      <c r="I190" s="2">
        <v>46196.721574074072</v>
      </c>
    </row>
    <row r="191" spans="1:9" x14ac:dyDescent="0.25">
      <c r="A191">
        <v>129991706</v>
      </c>
      <c r="B191" s="2">
        <v>46200.815972222219</v>
      </c>
      <c r="C191" t="s">
        <v>19</v>
      </c>
      <c r="D191" t="s">
        <v>15</v>
      </c>
      <c r="E191" t="s">
        <v>67</v>
      </c>
      <c r="F191" t="s">
        <v>69</v>
      </c>
      <c r="G191">
        <v>1.48</v>
      </c>
      <c r="H191">
        <v>2.6</v>
      </c>
      <c r="I191" s="2">
        <v>46196.721689814818</v>
      </c>
    </row>
    <row r="192" spans="1:9" x14ac:dyDescent="0.25">
      <c r="A192">
        <v>129991706</v>
      </c>
      <c r="B192" s="2">
        <v>46200.815972222219</v>
      </c>
      <c r="C192" t="s">
        <v>19</v>
      </c>
      <c r="D192" t="s">
        <v>15</v>
      </c>
      <c r="E192" t="s">
        <v>70</v>
      </c>
      <c r="F192" t="s">
        <v>69</v>
      </c>
      <c r="G192">
        <v>1.5</v>
      </c>
      <c r="H192">
        <v>2.6</v>
      </c>
      <c r="I192" s="2">
        <v>46196.721550925926</v>
      </c>
    </row>
    <row r="193" spans="1:9" x14ac:dyDescent="0.25">
      <c r="A193">
        <v>129991706</v>
      </c>
      <c r="B193" s="2">
        <v>46200.815972222219</v>
      </c>
      <c r="C193" t="s">
        <v>19</v>
      </c>
      <c r="D193" t="s">
        <v>15</v>
      </c>
      <c r="E193" t="s">
        <v>65</v>
      </c>
      <c r="F193" t="s">
        <v>69</v>
      </c>
      <c r="G193">
        <v>1.5</v>
      </c>
      <c r="H193">
        <v>2.6</v>
      </c>
      <c r="I193" s="2">
        <v>46196.721967592595</v>
      </c>
    </row>
    <row r="194" spans="1:9" x14ac:dyDescent="0.25">
      <c r="A194">
        <v>129991706</v>
      </c>
      <c r="B194" s="2">
        <v>46200.815972222219</v>
      </c>
      <c r="C194" t="s">
        <v>19</v>
      </c>
      <c r="D194" t="s">
        <v>15</v>
      </c>
      <c r="E194" t="s">
        <v>66</v>
      </c>
      <c r="F194" t="s">
        <v>69</v>
      </c>
      <c r="G194">
        <v>1.53</v>
      </c>
      <c r="H194">
        <v>2.5</v>
      </c>
      <c r="I194" s="2">
        <v>46196.721550925926</v>
      </c>
    </row>
    <row r="195" spans="1:9" x14ac:dyDescent="0.25">
      <c r="A195">
        <v>129991706</v>
      </c>
      <c r="B195" s="2">
        <v>46200.815972222219</v>
      </c>
      <c r="C195" t="s">
        <v>19</v>
      </c>
      <c r="D195" t="s">
        <v>15</v>
      </c>
      <c r="E195" t="s">
        <v>63</v>
      </c>
      <c r="F195" t="s">
        <v>69</v>
      </c>
      <c r="G195">
        <v>1.5</v>
      </c>
      <c r="H195">
        <v>2.6</v>
      </c>
      <c r="I195" s="2">
        <v>46196.721562500003</v>
      </c>
    </row>
    <row r="196" spans="1:9" x14ac:dyDescent="0.25">
      <c r="A196">
        <v>129991706</v>
      </c>
      <c r="B196" s="2">
        <v>46200.815972222219</v>
      </c>
      <c r="C196" t="s">
        <v>19</v>
      </c>
      <c r="D196" t="s">
        <v>15</v>
      </c>
      <c r="E196" t="s">
        <v>64</v>
      </c>
      <c r="F196" t="s">
        <v>69</v>
      </c>
      <c r="G196">
        <v>1.01</v>
      </c>
      <c r="H196">
        <v>2.34</v>
      </c>
      <c r="I196" s="2">
        <v>46196.722245370373</v>
      </c>
    </row>
    <row r="197" spans="1:9" x14ac:dyDescent="0.25">
      <c r="A197">
        <v>129991706</v>
      </c>
      <c r="B197" s="2">
        <v>46200.815972222219</v>
      </c>
      <c r="C197" t="s">
        <v>19</v>
      </c>
      <c r="D197" t="s">
        <v>15</v>
      </c>
      <c r="E197" t="s">
        <v>72</v>
      </c>
      <c r="F197" t="s">
        <v>69</v>
      </c>
      <c r="G197">
        <v>1.47</v>
      </c>
      <c r="H197">
        <v>2.7</v>
      </c>
      <c r="I197" s="2">
        <v>46196.721967592595</v>
      </c>
    </row>
    <row r="198" spans="1:9" x14ac:dyDescent="0.25">
      <c r="A198">
        <v>129991706</v>
      </c>
      <c r="B198" s="2">
        <v>46200.815972222219</v>
      </c>
      <c r="C198" t="s">
        <v>19</v>
      </c>
      <c r="D198" t="s">
        <v>15</v>
      </c>
      <c r="E198" t="s">
        <v>73</v>
      </c>
      <c r="F198" t="s">
        <v>69</v>
      </c>
      <c r="G198">
        <v>1.46</v>
      </c>
      <c r="H198">
        <v>2.65</v>
      </c>
      <c r="I198" s="2">
        <v>46196.721562500003</v>
      </c>
    </row>
    <row r="199" spans="1:9" x14ac:dyDescent="0.25">
      <c r="A199">
        <v>129991706</v>
      </c>
      <c r="B199" s="2">
        <v>46200.815972222219</v>
      </c>
      <c r="C199" t="s">
        <v>19</v>
      </c>
      <c r="D199" t="s">
        <v>15</v>
      </c>
      <c r="E199" t="s">
        <v>71</v>
      </c>
      <c r="F199" t="s">
        <v>69</v>
      </c>
      <c r="G199">
        <v>1.53</v>
      </c>
      <c r="H199">
        <v>2.5</v>
      </c>
      <c r="I199" s="2">
        <v>46196.72142361111</v>
      </c>
    </row>
    <row r="200" spans="1:9" x14ac:dyDescent="0.25">
      <c r="A200">
        <v>129991707</v>
      </c>
      <c r="B200" s="2">
        <v>46201.583333333336</v>
      </c>
      <c r="C200" t="s">
        <v>4</v>
      </c>
      <c r="D200" t="s">
        <v>11</v>
      </c>
      <c r="E200" t="s">
        <v>61</v>
      </c>
      <c r="F200" t="s">
        <v>69</v>
      </c>
      <c r="G200">
        <v>1.34</v>
      </c>
      <c r="H200">
        <v>3.3</v>
      </c>
      <c r="I200" s="2">
        <v>46196.721550925926</v>
      </c>
    </row>
    <row r="201" spans="1:9" x14ac:dyDescent="0.25">
      <c r="A201">
        <v>129991707</v>
      </c>
      <c r="B201" s="2">
        <v>46201.583333333336</v>
      </c>
      <c r="C201" t="s">
        <v>4</v>
      </c>
      <c r="D201" t="s">
        <v>11</v>
      </c>
      <c r="E201" t="s">
        <v>66</v>
      </c>
      <c r="F201" t="s">
        <v>69</v>
      </c>
      <c r="G201">
        <v>1.34</v>
      </c>
      <c r="H201">
        <v>3.3</v>
      </c>
      <c r="I201" s="2">
        <v>46196.721550925926</v>
      </c>
    </row>
    <row r="202" spans="1:9" x14ac:dyDescent="0.25">
      <c r="A202">
        <v>129991707</v>
      </c>
      <c r="B202" s="2">
        <v>46201.583333333336</v>
      </c>
      <c r="C202" t="s">
        <v>4</v>
      </c>
      <c r="D202" t="s">
        <v>11</v>
      </c>
      <c r="E202" t="s">
        <v>63</v>
      </c>
      <c r="F202" t="s">
        <v>69</v>
      </c>
      <c r="G202">
        <v>1.34</v>
      </c>
      <c r="H202">
        <v>3.25</v>
      </c>
      <c r="I202" s="2">
        <v>46196.721562500003</v>
      </c>
    </row>
    <row r="203" spans="1:9" x14ac:dyDescent="0.25">
      <c r="A203">
        <v>129991707</v>
      </c>
      <c r="B203" s="2">
        <v>46201.583333333336</v>
      </c>
      <c r="C203" t="s">
        <v>4</v>
      </c>
      <c r="D203" t="s">
        <v>11</v>
      </c>
      <c r="E203" t="s">
        <v>62</v>
      </c>
      <c r="F203" t="s">
        <v>69</v>
      </c>
      <c r="G203">
        <v>1.34</v>
      </c>
      <c r="H203">
        <v>3.3</v>
      </c>
      <c r="I203" s="2">
        <v>46196.721574074072</v>
      </c>
    </row>
    <row r="204" spans="1:9" x14ac:dyDescent="0.25">
      <c r="A204">
        <v>129991707</v>
      </c>
      <c r="B204" s="2">
        <v>46201.583333333336</v>
      </c>
      <c r="C204" t="s">
        <v>4</v>
      </c>
      <c r="D204" t="s">
        <v>11</v>
      </c>
      <c r="E204" t="s">
        <v>67</v>
      </c>
      <c r="F204" t="s">
        <v>69</v>
      </c>
      <c r="G204">
        <v>1.32</v>
      </c>
      <c r="H204">
        <v>3.3</v>
      </c>
      <c r="I204" s="2">
        <v>46196.721689814818</v>
      </c>
    </row>
    <row r="205" spans="1:9" x14ac:dyDescent="0.25">
      <c r="A205">
        <v>129991707</v>
      </c>
      <c r="B205" s="2">
        <v>46201.583333333336</v>
      </c>
      <c r="C205" t="s">
        <v>4</v>
      </c>
      <c r="D205" t="s">
        <v>11</v>
      </c>
      <c r="E205" t="s">
        <v>70</v>
      </c>
      <c r="F205" t="s">
        <v>69</v>
      </c>
      <c r="G205">
        <v>1.35</v>
      </c>
      <c r="H205">
        <v>3.25</v>
      </c>
      <c r="I205" s="2">
        <v>46196.721550925926</v>
      </c>
    </row>
    <row r="206" spans="1:9" x14ac:dyDescent="0.25">
      <c r="A206">
        <v>129991707</v>
      </c>
      <c r="B206" s="2">
        <v>46201.583333333336</v>
      </c>
      <c r="C206" t="s">
        <v>4</v>
      </c>
      <c r="D206" t="s">
        <v>11</v>
      </c>
      <c r="E206" t="s">
        <v>65</v>
      </c>
      <c r="F206" t="s">
        <v>69</v>
      </c>
      <c r="G206">
        <v>1.35</v>
      </c>
      <c r="H206">
        <v>3.25</v>
      </c>
      <c r="I206" s="2">
        <v>46196.721967592595</v>
      </c>
    </row>
    <row r="207" spans="1:9" x14ac:dyDescent="0.25">
      <c r="A207">
        <v>129991707</v>
      </c>
      <c r="B207" s="2">
        <v>46201.583333333336</v>
      </c>
      <c r="C207" t="s">
        <v>4</v>
      </c>
      <c r="D207" t="s">
        <v>11</v>
      </c>
      <c r="E207" t="s">
        <v>64</v>
      </c>
      <c r="F207" t="s">
        <v>69</v>
      </c>
      <c r="G207">
        <v>1.32</v>
      </c>
      <c r="H207">
        <v>2</v>
      </c>
      <c r="I207" s="2">
        <v>46196.722245370373</v>
      </c>
    </row>
    <row r="208" spans="1:9" x14ac:dyDescent="0.25">
      <c r="A208">
        <v>129991707</v>
      </c>
      <c r="B208" s="2">
        <v>46201.583333333336</v>
      </c>
      <c r="C208" t="s">
        <v>4</v>
      </c>
      <c r="D208" t="s">
        <v>11</v>
      </c>
      <c r="E208" t="s">
        <v>72</v>
      </c>
      <c r="F208" t="s">
        <v>69</v>
      </c>
      <c r="G208">
        <v>1.33</v>
      </c>
      <c r="H208">
        <v>3.35</v>
      </c>
      <c r="I208" s="2">
        <v>46196.721967592595</v>
      </c>
    </row>
    <row r="209" spans="1:9" x14ac:dyDescent="0.25">
      <c r="A209">
        <v>129991707</v>
      </c>
      <c r="B209" s="2">
        <v>46201.583333333336</v>
      </c>
      <c r="C209" t="s">
        <v>4</v>
      </c>
      <c r="D209" t="s">
        <v>11</v>
      </c>
      <c r="E209" t="s">
        <v>73</v>
      </c>
      <c r="F209" t="s">
        <v>69</v>
      </c>
      <c r="G209">
        <v>1.32</v>
      </c>
      <c r="H209">
        <v>3.35</v>
      </c>
      <c r="I209" s="2">
        <v>46196.721562500003</v>
      </c>
    </row>
    <row r="210" spans="1:9" x14ac:dyDescent="0.25">
      <c r="A210">
        <v>129991707</v>
      </c>
      <c r="B210" s="2">
        <v>46201.583333333336</v>
      </c>
      <c r="C210" t="s">
        <v>4</v>
      </c>
      <c r="D210" t="s">
        <v>11</v>
      </c>
      <c r="E210" t="s">
        <v>71</v>
      </c>
      <c r="F210" t="s">
        <v>69</v>
      </c>
      <c r="G210">
        <v>1.33</v>
      </c>
      <c r="H210">
        <v>3.3</v>
      </c>
      <c r="I210" s="2">
        <v>46196.72142361111</v>
      </c>
    </row>
    <row r="211" spans="1:9" x14ac:dyDescent="0.25">
      <c r="A211">
        <v>129991708</v>
      </c>
      <c r="B211" s="2">
        <v>46201.670138888891</v>
      </c>
      <c r="C211" t="s">
        <v>17</v>
      </c>
      <c r="D211" t="s">
        <v>5</v>
      </c>
      <c r="E211" t="s">
        <v>61</v>
      </c>
      <c r="F211" t="s">
        <v>69</v>
      </c>
      <c r="G211">
        <v>1.47</v>
      </c>
      <c r="H211">
        <v>2.7</v>
      </c>
      <c r="I211" s="2">
        <v>46196.721550925926</v>
      </c>
    </row>
    <row r="212" spans="1:9" x14ac:dyDescent="0.25">
      <c r="A212">
        <v>129991708</v>
      </c>
      <c r="B212" s="2">
        <v>46201.670138888891</v>
      </c>
      <c r="C212" t="s">
        <v>17</v>
      </c>
      <c r="D212" t="s">
        <v>5</v>
      </c>
      <c r="E212" t="s">
        <v>63</v>
      </c>
      <c r="F212" t="s">
        <v>69</v>
      </c>
      <c r="G212">
        <v>1.5</v>
      </c>
      <c r="H212">
        <v>2.6</v>
      </c>
      <c r="I212" s="2">
        <v>46196.721562500003</v>
      </c>
    </row>
    <row r="213" spans="1:9" x14ac:dyDescent="0.25">
      <c r="A213">
        <v>129991708</v>
      </c>
      <c r="B213" s="2">
        <v>46201.670138888891</v>
      </c>
      <c r="C213" t="s">
        <v>17</v>
      </c>
      <c r="D213" t="s">
        <v>5</v>
      </c>
      <c r="E213" t="s">
        <v>66</v>
      </c>
      <c r="F213" t="s">
        <v>69</v>
      </c>
      <c r="G213">
        <v>1.42</v>
      </c>
      <c r="H213">
        <v>2.9</v>
      </c>
      <c r="I213" s="2">
        <v>46196.721550925926</v>
      </c>
    </row>
    <row r="214" spans="1:9" x14ac:dyDescent="0.25">
      <c r="A214">
        <v>129991708</v>
      </c>
      <c r="B214" s="2">
        <v>46201.670138888891</v>
      </c>
      <c r="C214" t="s">
        <v>17</v>
      </c>
      <c r="D214" t="s">
        <v>5</v>
      </c>
      <c r="E214" t="s">
        <v>62</v>
      </c>
      <c r="F214" t="s">
        <v>69</v>
      </c>
      <c r="G214">
        <v>1.4</v>
      </c>
      <c r="H214">
        <v>3</v>
      </c>
      <c r="I214" s="2">
        <v>46196.721574074072</v>
      </c>
    </row>
    <row r="215" spans="1:9" x14ac:dyDescent="0.25">
      <c r="A215">
        <v>129991708</v>
      </c>
      <c r="B215" s="2">
        <v>46201.670138888891</v>
      </c>
      <c r="C215" t="s">
        <v>17</v>
      </c>
      <c r="D215" t="s">
        <v>5</v>
      </c>
      <c r="E215" t="s">
        <v>67</v>
      </c>
      <c r="F215" t="s">
        <v>69</v>
      </c>
      <c r="G215">
        <v>1.4</v>
      </c>
      <c r="H215">
        <v>2.9</v>
      </c>
      <c r="I215" s="2">
        <v>46196.721689814818</v>
      </c>
    </row>
    <row r="216" spans="1:9" x14ac:dyDescent="0.25">
      <c r="A216">
        <v>129991708</v>
      </c>
      <c r="B216" s="2">
        <v>46201.670138888891</v>
      </c>
      <c r="C216" t="s">
        <v>17</v>
      </c>
      <c r="D216" t="s">
        <v>5</v>
      </c>
      <c r="E216" t="s">
        <v>65</v>
      </c>
      <c r="F216" t="s">
        <v>69</v>
      </c>
      <c r="G216">
        <v>1.44</v>
      </c>
      <c r="H216">
        <v>2.8</v>
      </c>
      <c r="I216" s="2">
        <v>46196.721967592595</v>
      </c>
    </row>
    <row r="217" spans="1:9" x14ac:dyDescent="0.25">
      <c r="A217">
        <v>129991708</v>
      </c>
      <c r="B217" s="2">
        <v>46201.670138888891</v>
      </c>
      <c r="C217" t="s">
        <v>17</v>
      </c>
      <c r="D217" t="s">
        <v>5</v>
      </c>
      <c r="E217" t="s">
        <v>70</v>
      </c>
      <c r="F217" t="s">
        <v>69</v>
      </c>
      <c r="G217">
        <v>1.44</v>
      </c>
      <c r="H217">
        <v>2.8</v>
      </c>
      <c r="I217" s="2">
        <v>46196.721550925926</v>
      </c>
    </row>
    <row r="218" spans="1:9" x14ac:dyDescent="0.25">
      <c r="A218">
        <v>129991708</v>
      </c>
      <c r="B218" s="2">
        <v>46201.670138888891</v>
      </c>
      <c r="C218" t="s">
        <v>17</v>
      </c>
      <c r="D218" t="s">
        <v>5</v>
      </c>
      <c r="E218" t="s">
        <v>64</v>
      </c>
      <c r="F218" t="s">
        <v>69</v>
      </c>
      <c r="G218">
        <v>1.53</v>
      </c>
      <c r="H218">
        <v>2.68</v>
      </c>
      <c r="I218" s="2">
        <v>46196.722245370373</v>
      </c>
    </row>
    <row r="219" spans="1:9" x14ac:dyDescent="0.25">
      <c r="A219">
        <v>129991708</v>
      </c>
      <c r="B219" s="2">
        <v>46201.670138888891</v>
      </c>
      <c r="C219" t="s">
        <v>17</v>
      </c>
      <c r="D219" t="s">
        <v>5</v>
      </c>
      <c r="E219" t="s">
        <v>72</v>
      </c>
      <c r="F219" t="s">
        <v>69</v>
      </c>
      <c r="G219">
        <v>1.43</v>
      </c>
      <c r="H219">
        <v>2.85</v>
      </c>
      <c r="I219" s="2">
        <v>46196.721967592595</v>
      </c>
    </row>
    <row r="220" spans="1:9" x14ac:dyDescent="0.25">
      <c r="A220">
        <v>129991708</v>
      </c>
      <c r="B220" s="2">
        <v>46201.670138888891</v>
      </c>
      <c r="C220" t="s">
        <v>17</v>
      </c>
      <c r="D220" t="s">
        <v>5</v>
      </c>
      <c r="E220" t="s">
        <v>73</v>
      </c>
      <c r="F220" t="s">
        <v>69</v>
      </c>
      <c r="G220">
        <v>1.43</v>
      </c>
      <c r="H220">
        <v>2.8</v>
      </c>
      <c r="I220" s="2">
        <v>46196.721562500003</v>
      </c>
    </row>
    <row r="221" spans="1:9" x14ac:dyDescent="0.25">
      <c r="A221">
        <v>129991708</v>
      </c>
      <c r="B221" s="2">
        <v>46201.670138888891</v>
      </c>
      <c r="C221" t="s">
        <v>17</v>
      </c>
      <c r="D221" t="s">
        <v>5</v>
      </c>
      <c r="E221" t="s">
        <v>71</v>
      </c>
      <c r="F221" t="s">
        <v>69</v>
      </c>
      <c r="G221">
        <v>1.4</v>
      </c>
      <c r="H221">
        <v>2.95</v>
      </c>
      <c r="I221" s="2">
        <v>46196.72142361111</v>
      </c>
    </row>
    <row r="222" spans="1:9" x14ac:dyDescent="0.25">
      <c r="A222">
        <v>129991601</v>
      </c>
      <c r="B222" s="2">
        <v>46192.833333333336</v>
      </c>
      <c r="C222" t="s">
        <v>17</v>
      </c>
      <c r="D222" t="s">
        <v>11</v>
      </c>
      <c r="E222" t="s">
        <v>61</v>
      </c>
      <c r="F222" t="s">
        <v>69</v>
      </c>
      <c r="G222">
        <v>1.25</v>
      </c>
      <c r="H222">
        <v>4</v>
      </c>
      <c r="I222" s="2">
        <v>46189.895057870373</v>
      </c>
    </row>
    <row r="223" spans="1:9" x14ac:dyDescent="0.25">
      <c r="A223">
        <v>129991601</v>
      </c>
      <c r="B223" s="2">
        <v>46192.833333333336</v>
      </c>
      <c r="C223" t="s">
        <v>17</v>
      </c>
      <c r="D223" t="s">
        <v>11</v>
      </c>
      <c r="E223" t="s">
        <v>66</v>
      </c>
      <c r="F223" t="s">
        <v>69</v>
      </c>
      <c r="G223">
        <v>1.26</v>
      </c>
      <c r="H223">
        <v>3.9</v>
      </c>
      <c r="I223" s="2">
        <v>46189.895509259259</v>
      </c>
    </row>
    <row r="224" spans="1:9" x14ac:dyDescent="0.25">
      <c r="A224">
        <v>129991601</v>
      </c>
      <c r="B224" s="2">
        <v>46192.833333333336</v>
      </c>
      <c r="C224" t="s">
        <v>17</v>
      </c>
      <c r="D224" t="s">
        <v>11</v>
      </c>
      <c r="E224" t="s">
        <v>63</v>
      </c>
      <c r="F224" t="s">
        <v>69</v>
      </c>
      <c r="G224">
        <v>1.26</v>
      </c>
      <c r="H224">
        <v>3.85</v>
      </c>
      <c r="I224" s="2">
        <v>46189.894907407404</v>
      </c>
    </row>
    <row r="225" spans="1:9" x14ac:dyDescent="0.25">
      <c r="A225">
        <v>129991601</v>
      </c>
      <c r="B225" s="2">
        <v>46192.833333333336</v>
      </c>
      <c r="C225" t="s">
        <v>17</v>
      </c>
      <c r="D225" t="s">
        <v>11</v>
      </c>
      <c r="E225" t="s">
        <v>62</v>
      </c>
      <c r="F225" t="s">
        <v>69</v>
      </c>
      <c r="G225">
        <v>1.26</v>
      </c>
      <c r="H225">
        <v>3.9</v>
      </c>
      <c r="I225" s="2">
        <v>46189.89534722222</v>
      </c>
    </row>
    <row r="226" spans="1:9" x14ac:dyDescent="0.25">
      <c r="A226">
        <v>129991601</v>
      </c>
      <c r="B226" s="2">
        <v>46192.833333333336</v>
      </c>
      <c r="C226" t="s">
        <v>17</v>
      </c>
      <c r="D226" t="s">
        <v>11</v>
      </c>
      <c r="E226" t="s">
        <v>70</v>
      </c>
      <c r="F226" t="s">
        <v>69</v>
      </c>
      <c r="G226">
        <v>1.26</v>
      </c>
      <c r="H226">
        <v>3.9</v>
      </c>
      <c r="I226" s="2">
        <v>46189.895335648151</v>
      </c>
    </row>
    <row r="227" spans="1:9" x14ac:dyDescent="0.25">
      <c r="A227">
        <v>129991601</v>
      </c>
      <c r="B227" s="2">
        <v>46192.833333333336</v>
      </c>
      <c r="C227" t="s">
        <v>17</v>
      </c>
      <c r="D227" t="s">
        <v>11</v>
      </c>
      <c r="E227" t="s">
        <v>65</v>
      </c>
      <c r="F227" t="s">
        <v>69</v>
      </c>
      <c r="G227">
        <v>1.26</v>
      </c>
      <c r="H227">
        <v>3.9</v>
      </c>
      <c r="I227" s="2">
        <v>46189.895196759258</v>
      </c>
    </row>
    <row r="228" spans="1:9" x14ac:dyDescent="0.25">
      <c r="A228">
        <v>129991601</v>
      </c>
      <c r="B228" s="2">
        <v>46192.833333333336</v>
      </c>
      <c r="C228" t="s">
        <v>17</v>
      </c>
      <c r="D228" t="s">
        <v>11</v>
      </c>
      <c r="E228" t="s">
        <v>67</v>
      </c>
      <c r="F228" t="s">
        <v>69</v>
      </c>
      <c r="G228">
        <v>1.25</v>
      </c>
      <c r="H228">
        <v>3.8</v>
      </c>
      <c r="I228" s="2">
        <v>46189.894918981481</v>
      </c>
    </row>
    <row r="229" spans="1:9" x14ac:dyDescent="0.25">
      <c r="A229">
        <v>129991601</v>
      </c>
      <c r="B229" s="2">
        <v>46192.833333333336</v>
      </c>
      <c r="C229" t="s">
        <v>17</v>
      </c>
      <c r="D229" t="s">
        <v>11</v>
      </c>
      <c r="E229" t="s">
        <v>73</v>
      </c>
      <c r="F229" t="s">
        <v>69</v>
      </c>
      <c r="G229">
        <v>1.27</v>
      </c>
      <c r="H229">
        <v>3.75</v>
      </c>
      <c r="I229" s="2">
        <v>46189.894907407404</v>
      </c>
    </row>
    <row r="230" spans="1:9" x14ac:dyDescent="0.25">
      <c r="A230">
        <v>129991601</v>
      </c>
      <c r="B230" s="2">
        <v>46192.833333333336</v>
      </c>
      <c r="C230" t="s">
        <v>17</v>
      </c>
      <c r="D230" t="s">
        <v>11</v>
      </c>
      <c r="E230" t="s">
        <v>72</v>
      </c>
      <c r="F230" t="s">
        <v>69</v>
      </c>
      <c r="G230">
        <v>1.27</v>
      </c>
      <c r="H230">
        <v>3.8</v>
      </c>
      <c r="I230" s="2">
        <v>46189.895208333335</v>
      </c>
    </row>
    <row r="231" spans="1:9" x14ac:dyDescent="0.25">
      <c r="A231">
        <v>129991601</v>
      </c>
      <c r="B231" s="2">
        <v>46192.833333333336</v>
      </c>
      <c r="C231" t="s">
        <v>17</v>
      </c>
      <c r="D231" t="s">
        <v>11</v>
      </c>
      <c r="E231" t="s">
        <v>71</v>
      </c>
      <c r="F231" t="s">
        <v>69</v>
      </c>
      <c r="G231">
        <v>1.26</v>
      </c>
      <c r="H231">
        <v>3.9</v>
      </c>
      <c r="I231" s="2">
        <v>46189.895069444443</v>
      </c>
    </row>
    <row r="232" spans="1:9" x14ac:dyDescent="0.25">
      <c r="A232">
        <v>129991601</v>
      </c>
      <c r="B232" s="2">
        <v>46192.833333333336</v>
      </c>
      <c r="C232" t="s">
        <v>17</v>
      </c>
      <c r="D232" t="s">
        <v>11</v>
      </c>
      <c r="E232" t="s">
        <v>64</v>
      </c>
      <c r="F232" t="s">
        <v>69</v>
      </c>
      <c r="G232">
        <v>1.01</v>
      </c>
      <c r="H232">
        <v>4</v>
      </c>
      <c r="I232" s="2">
        <v>46189.89534722222</v>
      </c>
    </row>
    <row r="233" spans="1:9" x14ac:dyDescent="0.25">
      <c r="A233">
        <v>129991602</v>
      </c>
      <c r="B233" s="2">
        <v>46193.625</v>
      </c>
      <c r="C233" t="s">
        <v>5</v>
      </c>
      <c r="D233" t="s">
        <v>12</v>
      </c>
      <c r="E233" t="s">
        <v>61</v>
      </c>
      <c r="F233" t="s">
        <v>69</v>
      </c>
      <c r="G233">
        <v>2.99</v>
      </c>
      <c r="H233">
        <v>1.4</v>
      </c>
      <c r="I233" s="2">
        <v>46189.895057870373</v>
      </c>
    </row>
    <row r="234" spans="1:9" x14ac:dyDescent="0.25">
      <c r="A234">
        <v>129991602</v>
      </c>
      <c r="B234" s="2">
        <v>46193.625</v>
      </c>
      <c r="C234" t="s">
        <v>5</v>
      </c>
      <c r="D234" t="s">
        <v>12</v>
      </c>
      <c r="E234" t="s">
        <v>66</v>
      </c>
      <c r="F234" t="s">
        <v>69</v>
      </c>
      <c r="G234">
        <v>3</v>
      </c>
      <c r="H234">
        <v>1.39</v>
      </c>
      <c r="I234" s="2">
        <v>46189.895509259259</v>
      </c>
    </row>
    <row r="235" spans="1:9" x14ac:dyDescent="0.25">
      <c r="A235">
        <v>129991602</v>
      </c>
      <c r="B235" s="2">
        <v>46193.625</v>
      </c>
      <c r="C235" t="s">
        <v>5</v>
      </c>
      <c r="D235" t="s">
        <v>12</v>
      </c>
      <c r="E235" t="s">
        <v>63</v>
      </c>
      <c r="F235" t="s">
        <v>69</v>
      </c>
      <c r="G235">
        <v>2.88</v>
      </c>
      <c r="H235">
        <v>1.42</v>
      </c>
      <c r="I235" s="2">
        <v>46189.894907407404</v>
      </c>
    </row>
    <row r="236" spans="1:9" x14ac:dyDescent="0.25">
      <c r="A236">
        <v>129991602</v>
      </c>
      <c r="B236" s="2">
        <v>46193.625</v>
      </c>
      <c r="C236" t="s">
        <v>5</v>
      </c>
      <c r="D236" t="s">
        <v>12</v>
      </c>
      <c r="E236" t="s">
        <v>62</v>
      </c>
      <c r="F236" t="s">
        <v>69</v>
      </c>
      <c r="G236">
        <v>2.8</v>
      </c>
      <c r="H236">
        <v>1.44</v>
      </c>
      <c r="I236" s="2">
        <v>46189.89534722222</v>
      </c>
    </row>
    <row r="237" spans="1:9" x14ac:dyDescent="0.25">
      <c r="A237">
        <v>129991602</v>
      </c>
      <c r="B237" s="2">
        <v>46193.625</v>
      </c>
      <c r="C237" t="s">
        <v>5</v>
      </c>
      <c r="D237" t="s">
        <v>12</v>
      </c>
      <c r="E237" t="s">
        <v>70</v>
      </c>
      <c r="F237" t="s">
        <v>69</v>
      </c>
      <c r="G237">
        <v>2.9</v>
      </c>
      <c r="H237">
        <v>1.42</v>
      </c>
      <c r="I237" s="2">
        <v>46189.895335648151</v>
      </c>
    </row>
    <row r="238" spans="1:9" x14ac:dyDescent="0.25">
      <c r="A238">
        <v>129991602</v>
      </c>
      <c r="B238" s="2">
        <v>46193.625</v>
      </c>
      <c r="C238" t="s">
        <v>5</v>
      </c>
      <c r="D238" t="s">
        <v>12</v>
      </c>
      <c r="E238" t="s">
        <v>65</v>
      </c>
      <c r="F238" t="s">
        <v>69</v>
      </c>
      <c r="G238">
        <v>2.9</v>
      </c>
      <c r="H238">
        <v>1.42</v>
      </c>
      <c r="I238" s="2">
        <v>46189.895196759258</v>
      </c>
    </row>
    <row r="239" spans="1:9" x14ac:dyDescent="0.25">
      <c r="A239">
        <v>129991602</v>
      </c>
      <c r="B239" s="2">
        <v>46193.625</v>
      </c>
      <c r="C239" t="s">
        <v>5</v>
      </c>
      <c r="D239" t="s">
        <v>12</v>
      </c>
      <c r="E239" t="s">
        <v>67</v>
      </c>
      <c r="F239" t="s">
        <v>69</v>
      </c>
      <c r="G239">
        <v>2.9</v>
      </c>
      <c r="H239">
        <v>1.4</v>
      </c>
      <c r="I239" s="2">
        <v>46189.894918981481</v>
      </c>
    </row>
    <row r="240" spans="1:9" x14ac:dyDescent="0.25">
      <c r="A240">
        <v>129991602</v>
      </c>
      <c r="B240" s="2">
        <v>46193.625</v>
      </c>
      <c r="C240" t="s">
        <v>5</v>
      </c>
      <c r="D240" t="s">
        <v>12</v>
      </c>
      <c r="E240" t="s">
        <v>73</v>
      </c>
      <c r="F240" t="s">
        <v>69</v>
      </c>
      <c r="G240">
        <v>2.7</v>
      </c>
      <c r="H240">
        <v>1.46</v>
      </c>
      <c r="I240" s="2">
        <v>46189.894907407404</v>
      </c>
    </row>
    <row r="241" spans="1:9" x14ac:dyDescent="0.25">
      <c r="A241">
        <v>129991602</v>
      </c>
      <c r="B241" s="2">
        <v>46193.625</v>
      </c>
      <c r="C241" t="s">
        <v>5</v>
      </c>
      <c r="D241" t="s">
        <v>12</v>
      </c>
      <c r="E241" t="s">
        <v>72</v>
      </c>
      <c r="F241" t="s">
        <v>69</v>
      </c>
      <c r="G241">
        <v>2.7</v>
      </c>
      <c r="H241">
        <v>1.45</v>
      </c>
      <c r="I241" s="2">
        <v>46189.895208333335</v>
      </c>
    </row>
    <row r="242" spans="1:9" x14ac:dyDescent="0.25">
      <c r="A242">
        <v>129991602</v>
      </c>
      <c r="B242" s="2">
        <v>46193.625</v>
      </c>
      <c r="C242" t="s">
        <v>5</v>
      </c>
      <c r="D242" t="s">
        <v>12</v>
      </c>
      <c r="E242" t="s">
        <v>71</v>
      </c>
      <c r="F242" t="s">
        <v>69</v>
      </c>
      <c r="G242">
        <v>2.8</v>
      </c>
      <c r="H242">
        <v>1.44</v>
      </c>
      <c r="I242" s="2">
        <v>46189.895069444443</v>
      </c>
    </row>
    <row r="243" spans="1:9" x14ac:dyDescent="0.25">
      <c r="A243">
        <v>129991602</v>
      </c>
      <c r="B243" s="2">
        <v>46193.625</v>
      </c>
      <c r="C243" t="s">
        <v>5</v>
      </c>
      <c r="D243" t="s">
        <v>12</v>
      </c>
      <c r="E243" t="s">
        <v>64</v>
      </c>
      <c r="F243" t="s">
        <v>69</v>
      </c>
      <c r="G243">
        <v>3</v>
      </c>
      <c r="H243">
        <v>1.3</v>
      </c>
      <c r="I243" s="2">
        <v>46189.89534722222</v>
      </c>
    </row>
    <row r="244" spans="1:9" x14ac:dyDescent="0.25">
      <c r="A244">
        <v>129991603</v>
      </c>
      <c r="B244" s="2">
        <v>46193.729166666664</v>
      </c>
      <c r="C244" t="s">
        <v>22</v>
      </c>
      <c r="D244" t="s">
        <v>16</v>
      </c>
      <c r="E244" t="s">
        <v>61</v>
      </c>
      <c r="F244" t="s">
        <v>69</v>
      </c>
      <c r="G244">
        <v>4.3</v>
      </c>
      <c r="H244">
        <v>1.23</v>
      </c>
      <c r="I244" s="2">
        <v>46189.895057870373</v>
      </c>
    </row>
    <row r="245" spans="1:9" x14ac:dyDescent="0.25">
      <c r="A245">
        <v>129991603</v>
      </c>
      <c r="B245" s="2">
        <v>46193.729166666664</v>
      </c>
      <c r="C245" t="s">
        <v>22</v>
      </c>
      <c r="D245" t="s">
        <v>16</v>
      </c>
      <c r="E245" t="s">
        <v>62</v>
      </c>
      <c r="F245" t="s">
        <v>69</v>
      </c>
      <c r="G245">
        <v>3.7</v>
      </c>
      <c r="H245">
        <v>1.28</v>
      </c>
      <c r="I245" s="2">
        <v>46189.89534722222</v>
      </c>
    </row>
    <row r="246" spans="1:9" x14ac:dyDescent="0.25">
      <c r="A246">
        <v>129991603</v>
      </c>
      <c r="B246" s="2">
        <v>46193.729166666664</v>
      </c>
      <c r="C246" t="s">
        <v>22</v>
      </c>
      <c r="D246" t="s">
        <v>16</v>
      </c>
      <c r="E246" t="s">
        <v>70</v>
      </c>
      <c r="F246" t="s">
        <v>69</v>
      </c>
      <c r="G246">
        <v>3.9</v>
      </c>
      <c r="H246">
        <v>1.26</v>
      </c>
      <c r="I246" s="2">
        <v>46189.895335648151</v>
      </c>
    </row>
    <row r="247" spans="1:9" x14ac:dyDescent="0.25">
      <c r="A247">
        <v>129991603</v>
      </c>
      <c r="B247" s="2">
        <v>46193.729166666664</v>
      </c>
      <c r="C247" t="s">
        <v>22</v>
      </c>
      <c r="D247" t="s">
        <v>16</v>
      </c>
      <c r="E247" t="s">
        <v>65</v>
      </c>
      <c r="F247" t="s">
        <v>69</v>
      </c>
      <c r="G247">
        <v>3.9</v>
      </c>
      <c r="H247">
        <v>1.26</v>
      </c>
      <c r="I247" s="2">
        <v>46189.895196759258</v>
      </c>
    </row>
    <row r="248" spans="1:9" x14ac:dyDescent="0.25">
      <c r="A248">
        <v>129991603</v>
      </c>
      <c r="B248" s="2">
        <v>46193.729166666664</v>
      </c>
      <c r="C248" t="s">
        <v>22</v>
      </c>
      <c r="D248" t="s">
        <v>16</v>
      </c>
      <c r="E248" t="s">
        <v>67</v>
      </c>
      <c r="F248" t="s">
        <v>69</v>
      </c>
      <c r="G248">
        <v>4</v>
      </c>
      <c r="H248">
        <v>1.23</v>
      </c>
      <c r="I248" s="2">
        <v>46189.894918981481</v>
      </c>
    </row>
    <row r="249" spans="1:9" x14ac:dyDescent="0.25">
      <c r="A249">
        <v>129991603</v>
      </c>
      <c r="B249" s="2">
        <v>46193.729166666664</v>
      </c>
      <c r="C249" t="s">
        <v>22</v>
      </c>
      <c r="D249" t="s">
        <v>16</v>
      </c>
      <c r="E249" t="s">
        <v>63</v>
      </c>
      <c r="F249" t="s">
        <v>69</v>
      </c>
      <c r="G249">
        <v>3.85</v>
      </c>
      <c r="H249">
        <v>1.26</v>
      </c>
      <c r="I249" s="2">
        <v>46189.894907407404</v>
      </c>
    </row>
    <row r="250" spans="1:9" x14ac:dyDescent="0.25">
      <c r="A250">
        <v>129991603</v>
      </c>
      <c r="B250" s="2">
        <v>46193.729166666664</v>
      </c>
      <c r="C250" t="s">
        <v>22</v>
      </c>
      <c r="D250" t="s">
        <v>16</v>
      </c>
      <c r="E250" t="s">
        <v>66</v>
      </c>
      <c r="F250" t="s">
        <v>69</v>
      </c>
      <c r="G250">
        <v>4</v>
      </c>
      <c r="H250">
        <v>1.25</v>
      </c>
      <c r="I250" s="2">
        <v>46189.895509259259</v>
      </c>
    </row>
    <row r="251" spans="1:9" x14ac:dyDescent="0.25">
      <c r="A251">
        <v>129991603</v>
      </c>
      <c r="B251" s="2">
        <v>46193.729166666664</v>
      </c>
      <c r="C251" t="s">
        <v>22</v>
      </c>
      <c r="D251" t="s">
        <v>16</v>
      </c>
      <c r="E251" t="s">
        <v>72</v>
      </c>
      <c r="F251" t="s">
        <v>69</v>
      </c>
      <c r="G251">
        <v>3.85</v>
      </c>
      <c r="H251">
        <v>1.26</v>
      </c>
      <c r="I251" s="2">
        <v>46189.895208333335</v>
      </c>
    </row>
    <row r="252" spans="1:9" x14ac:dyDescent="0.25">
      <c r="A252">
        <v>129991603</v>
      </c>
      <c r="B252" s="2">
        <v>46193.729166666664</v>
      </c>
      <c r="C252" t="s">
        <v>22</v>
      </c>
      <c r="D252" t="s">
        <v>16</v>
      </c>
      <c r="E252" t="s">
        <v>73</v>
      </c>
      <c r="F252" t="s">
        <v>69</v>
      </c>
      <c r="G252">
        <v>3.8</v>
      </c>
      <c r="H252">
        <v>1.26</v>
      </c>
      <c r="I252" s="2">
        <v>46189.894907407404</v>
      </c>
    </row>
    <row r="253" spans="1:9" x14ac:dyDescent="0.25">
      <c r="A253">
        <v>129991603</v>
      </c>
      <c r="B253" s="2">
        <v>46193.729166666664</v>
      </c>
      <c r="C253" t="s">
        <v>22</v>
      </c>
      <c r="D253" t="s">
        <v>16</v>
      </c>
      <c r="E253" t="s">
        <v>71</v>
      </c>
      <c r="F253" t="s">
        <v>69</v>
      </c>
      <c r="G253">
        <v>3.7</v>
      </c>
      <c r="H253">
        <v>1.28</v>
      </c>
      <c r="I253" s="2">
        <v>46189.895069444443</v>
      </c>
    </row>
    <row r="254" spans="1:9" x14ac:dyDescent="0.25">
      <c r="A254">
        <v>129991603</v>
      </c>
      <c r="B254" s="2">
        <v>46193.729166666664</v>
      </c>
      <c r="C254" t="s">
        <v>22</v>
      </c>
      <c r="D254" t="s">
        <v>16</v>
      </c>
      <c r="E254" t="s">
        <v>64</v>
      </c>
      <c r="F254" t="s">
        <v>69</v>
      </c>
      <c r="G254">
        <v>3.35</v>
      </c>
      <c r="H254">
        <v>1.26</v>
      </c>
      <c r="I254" s="2">
        <v>46189.89534722222</v>
      </c>
    </row>
    <row r="255" spans="1:9" x14ac:dyDescent="0.25">
      <c r="A255">
        <v>129991604</v>
      </c>
      <c r="B255" s="2">
        <v>46193.815972222219</v>
      </c>
      <c r="C255" t="s">
        <v>8</v>
      </c>
      <c r="D255" t="s">
        <v>19</v>
      </c>
      <c r="E255" t="s">
        <v>61</v>
      </c>
      <c r="F255" t="s">
        <v>69</v>
      </c>
      <c r="G255">
        <v>3.07</v>
      </c>
      <c r="H255">
        <v>1.38</v>
      </c>
      <c r="I255" s="2">
        <v>46189.895057870373</v>
      </c>
    </row>
    <row r="256" spans="1:9" x14ac:dyDescent="0.25">
      <c r="A256">
        <v>129991604</v>
      </c>
      <c r="B256" s="2">
        <v>46193.815972222219</v>
      </c>
      <c r="C256" t="s">
        <v>8</v>
      </c>
      <c r="D256" t="s">
        <v>19</v>
      </c>
      <c r="E256" t="s">
        <v>66</v>
      </c>
      <c r="F256" t="s">
        <v>69</v>
      </c>
      <c r="G256">
        <v>2.85</v>
      </c>
      <c r="H256">
        <v>1.43</v>
      </c>
      <c r="I256" s="2">
        <v>46189.895509259259</v>
      </c>
    </row>
    <row r="257" spans="1:9" x14ac:dyDescent="0.25">
      <c r="A257">
        <v>129991604</v>
      </c>
      <c r="B257" s="2">
        <v>46193.815972222219</v>
      </c>
      <c r="C257" t="s">
        <v>8</v>
      </c>
      <c r="D257" t="s">
        <v>19</v>
      </c>
      <c r="E257" t="s">
        <v>63</v>
      </c>
      <c r="F257" t="s">
        <v>69</v>
      </c>
      <c r="G257">
        <v>2.95</v>
      </c>
      <c r="H257">
        <v>1.4</v>
      </c>
      <c r="I257" s="2">
        <v>46189.894907407404</v>
      </c>
    </row>
    <row r="258" spans="1:9" x14ac:dyDescent="0.25">
      <c r="A258">
        <v>129991604</v>
      </c>
      <c r="B258" s="2">
        <v>46193.815972222219</v>
      </c>
      <c r="C258" t="s">
        <v>8</v>
      </c>
      <c r="D258" t="s">
        <v>19</v>
      </c>
      <c r="E258" t="s">
        <v>62</v>
      </c>
      <c r="F258" t="s">
        <v>69</v>
      </c>
      <c r="G258">
        <v>2.9</v>
      </c>
      <c r="H258">
        <v>1.42</v>
      </c>
      <c r="I258" s="2">
        <v>46189.89534722222</v>
      </c>
    </row>
    <row r="259" spans="1:9" x14ac:dyDescent="0.25">
      <c r="A259">
        <v>129991604</v>
      </c>
      <c r="B259" s="2">
        <v>46193.815972222219</v>
      </c>
      <c r="C259" t="s">
        <v>8</v>
      </c>
      <c r="D259" t="s">
        <v>19</v>
      </c>
      <c r="E259" t="s">
        <v>70</v>
      </c>
      <c r="F259" t="s">
        <v>69</v>
      </c>
      <c r="G259">
        <v>3.1</v>
      </c>
      <c r="H259">
        <v>1.36</v>
      </c>
      <c r="I259" s="2">
        <v>46189.895335648151</v>
      </c>
    </row>
    <row r="260" spans="1:9" x14ac:dyDescent="0.25">
      <c r="A260">
        <v>129991604</v>
      </c>
      <c r="B260" s="2">
        <v>46193.815972222219</v>
      </c>
      <c r="C260" t="s">
        <v>8</v>
      </c>
      <c r="D260" t="s">
        <v>19</v>
      </c>
      <c r="E260" t="s">
        <v>65</v>
      </c>
      <c r="F260" t="s">
        <v>69</v>
      </c>
      <c r="G260">
        <v>3.1</v>
      </c>
      <c r="H260">
        <v>1.36</v>
      </c>
      <c r="I260" s="2">
        <v>46189.895196759258</v>
      </c>
    </row>
    <row r="261" spans="1:9" x14ac:dyDescent="0.25">
      <c r="A261">
        <v>129991604</v>
      </c>
      <c r="B261" s="2">
        <v>46193.815972222219</v>
      </c>
      <c r="C261" t="s">
        <v>8</v>
      </c>
      <c r="D261" t="s">
        <v>19</v>
      </c>
      <c r="E261" t="s">
        <v>67</v>
      </c>
      <c r="F261" t="s">
        <v>69</v>
      </c>
      <c r="G261">
        <v>2.9</v>
      </c>
      <c r="H261">
        <v>1.4</v>
      </c>
      <c r="I261" s="2">
        <v>46189.894918981481</v>
      </c>
    </row>
    <row r="262" spans="1:9" x14ac:dyDescent="0.25">
      <c r="A262">
        <v>129991604</v>
      </c>
      <c r="B262" s="2">
        <v>46193.815972222219</v>
      </c>
      <c r="C262" t="s">
        <v>8</v>
      </c>
      <c r="D262" t="s">
        <v>19</v>
      </c>
      <c r="E262" t="s">
        <v>73</v>
      </c>
      <c r="F262" t="s">
        <v>69</v>
      </c>
      <c r="G262">
        <v>2.88</v>
      </c>
      <c r="H262">
        <v>1.4</v>
      </c>
      <c r="I262" s="2">
        <v>46189.894907407404</v>
      </c>
    </row>
    <row r="263" spans="1:9" x14ac:dyDescent="0.25">
      <c r="A263">
        <v>129991604</v>
      </c>
      <c r="B263" s="2">
        <v>46193.815972222219</v>
      </c>
      <c r="C263" t="s">
        <v>8</v>
      </c>
      <c r="D263" t="s">
        <v>19</v>
      </c>
      <c r="E263" t="s">
        <v>72</v>
      </c>
      <c r="F263" t="s">
        <v>69</v>
      </c>
      <c r="G263">
        <v>2.9</v>
      </c>
      <c r="H263">
        <v>1.41</v>
      </c>
      <c r="I263" s="2">
        <v>46189.895208333335</v>
      </c>
    </row>
    <row r="264" spans="1:9" x14ac:dyDescent="0.25">
      <c r="A264">
        <v>129991604</v>
      </c>
      <c r="B264" s="2">
        <v>46193.815972222219</v>
      </c>
      <c r="C264" t="s">
        <v>8</v>
      </c>
      <c r="D264" t="s">
        <v>19</v>
      </c>
      <c r="E264" t="s">
        <v>71</v>
      </c>
      <c r="F264" t="s">
        <v>69</v>
      </c>
      <c r="G264">
        <v>2.95</v>
      </c>
      <c r="H264">
        <v>1.4</v>
      </c>
      <c r="I264" s="2">
        <v>46189.895069444443</v>
      </c>
    </row>
    <row r="265" spans="1:9" x14ac:dyDescent="0.25">
      <c r="A265">
        <v>129991604</v>
      </c>
      <c r="B265" s="2">
        <v>46193.815972222219</v>
      </c>
      <c r="C265" t="s">
        <v>8</v>
      </c>
      <c r="D265" t="s">
        <v>19</v>
      </c>
      <c r="E265" t="s">
        <v>64</v>
      </c>
      <c r="F265" t="s">
        <v>69</v>
      </c>
      <c r="G265">
        <v>2.94</v>
      </c>
      <c r="H265">
        <v>1.47</v>
      </c>
      <c r="I265" s="2">
        <v>46189.89534722222</v>
      </c>
    </row>
    <row r="266" spans="1:9" x14ac:dyDescent="0.25">
      <c r="A266">
        <v>129991605</v>
      </c>
      <c r="B266" s="2">
        <v>46194.583333333336</v>
      </c>
      <c r="C266" t="s">
        <v>13</v>
      </c>
      <c r="D266" t="s">
        <v>7</v>
      </c>
      <c r="E266" t="s">
        <v>61</v>
      </c>
      <c r="F266" t="s">
        <v>69</v>
      </c>
      <c r="G266">
        <v>1.36</v>
      </c>
      <c r="H266">
        <v>3.16</v>
      </c>
      <c r="I266" s="2">
        <v>46189.895057870373</v>
      </c>
    </row>
    <row r="267" spans="1:9" x14ac:dyDescent="0.25">
      <c r="A267">
        <v>129991605</v>
      </c>
      <c r="B267" s="2">
        <v>46194.583333333336</v>
      </c>
      <c r="C267" t="s">
        <v>13</v>
      </c>
      <c r="D267" t="s">
        <v>7</v>
      </c>
      <c r="E267" t="s">
        <v>62</v>
      </c>
      <c r="F267" t="s">
        <v>69</v>
      </c>
      <c r="G267">
        <v>1.42</v>
      </c>
      <c r="H267">
        <v>2.9</v>
      </c>
      <c r="I267" s="2">
        <v>46189.89534722222</v>
      </c>
    </row>
    <row r="268" spans="1:9" x14ac:dyDescent="0.25">
      <c r="A268">
        <v>129991605</v>
      </c>
      <c r="B268" s="2">
        <v>46194.583333333336</v>
      </c>
      <c r="C268" t="s">
        <v>13</v>
      </c>
      <c r="D268" t="s">
        <v>7</v>
      </c>
      <c r="E268" t="s">
        <v>70</v>
      </c>
      <c r="F268" t="s">
        <v>69</v>
      </c>
      <c r="G268">
        <v>1.33</v>
      </c>
      <c r="H268">
        <v>3.35</v>
      </c>
      <c r="I268" s="2">
        <v>46189.895335648151</v>
      </c>
    </row>
    <row r="269" spans="1:9" x14ac:dyDescent="0.25">
      <c r="A269">
        <v>129991605</v>
      </c>
      <c r="B269" s="2">
        <v>46194.583333333336</v>
      </c>
      <c r="C269" t="s">
        <v>13</v>
      </c>
      <c r="D269" t="s">
        <v>7</v>
      </c>
      <c r="E269" t="s">
        <v>65</v>
      </c>
      <c r="F269" t="s">
        <v>69</v>
      </c>
      <c r="G269">
        <v>1.33</v>
      </c>
      <c r="H269">
        <v>3.35</v>
      </c>
      <c r="I269" s="2">
        <v>46189.895196759258</v>
      </c>
    </row>
    <row r="270" spans="1:9" x14ac:dyDescent="0.25">
      <c r="A270">
        <v>129991605</v>
      </c>
      <c r="B270" s="2">
        <v>46194.583333333336</v>
      </c>
      <c r="C270" t="s">
        <v>13</v>
      </c>
      <c r="D270" t="s">
        <v>7</v>
      </c>
      <c r="E270" t="s">
        <v>67</v>
      </c>
      <c r="F270" t="s">
        <v>69</v>
      </c>
      <c r="G270">
        <v>1.38</v>
      </c>
      <c r="H270">
        <v>3</v>
      </c>
      <c r="I270" s="2">
        <v>46189.894918981481</v>
      </c>
    </row>
    <row r="271" spans="1:9" x14ac:dyDescent="0.25">
      <c r="A271">
        <v>129991605</v>
      </c>
      <c r="B271" s="2">
        <v>46194.583333333336</v>
      </c>
      <c r="C271" t="s">
        <v>13</v>
      </c>
      <c r="D271" t="s">
        <v>7</v>
      </c>
      <c r="E271" t="s">
        <v>72</v>
      </c>
      <c r="F271" t="s">
        <v>69</v>
      </c>
      <c r="G271">
        <v>1.36</v>
      </c>
      <c r="H271">
        <v>3.15</v>
      </c>
      <c r="I271" s="2">
        <v>46189.895208333335</v>
      </c>
    </row>
    <row r="272" spans="1:9" x14ac:dyDescent="0.25">
      <c r="A272">
        <v>129991605</v>
      </c>
      <c r="B272" s="2">
        <v>46194.583333333336</v>
      </c>
      <c r="C272" t="s">
        <v>13</v>
      </c>
      <c r="D272" t="s">
        <v>7</v>
      </c>
      <c r="E272" t="s">
        <v>73</v>
      </c>
      <c r="F272" t="s">
        <v>69</v>
      </c>
      <c r="G272">
        <v>1.35</v>
      </c>
      <c r="H272">
        <v>3.15</v>
      </c>
      <c r="I272" s="2">
        <v>46189.894907407404</v>
      </c>
    </row>
    <row r="273" spans="1:9" x14ac:dyDescent="0.25">
      <c r="A273">
        <v>129991605</v>
      </c>
      <c r="B273" s="2">
        <v>46194.583333333336</v>
      </c>
      <c r="C273" t="s">
        <v>13</v>
      </c>
      <c r="D273" t="s">
        <v>7</v>
      </c>
      <c r="E273" t="s">
        <v>71</v>
      </c>
      <c r="F273" t="s">
        <v>69</v>
      </c>
      <c r="G273">
        <v>1.4</v>
      </c>
      <c r="H273">
        <v>2.95</v>
      </c>
      <c r="I273" s="2">
        <v>46189.895069444443</v>
      </c>
    </row>
    <row r="274" spans="1:9" x14ac:dyDescent="0.25">
      <c r="A274">
        <v>129991605</v>
      </c>
      <c r="B274" s="2">
        <v>46194.583333333336</v>
      </c>
      <c r="C274" t="s">
        <v>13</v>
      </c>
      <c r="D274" t="s">
        <v>7</v>
      </c>
      <c r="E274" t="s">
        <v>66</v>
      </c>
      <c r="F274" t="s">
        <v>69</v>
      </c>
      <c r="G274">
        <v>1.35</v>
      </c>
      <c r="H274">
        <v>3.2</v>
      </c>
      <c r="I274" s="2">
        <v>46189.895509259259</v>
      </c>
    </row>
    <row r="275" spans="1:9" x14ac:dyDescent="0.25">
      <c r="A275">
        <v>129991605</v>
      </c>
      <c r="B275" s="2">
        <v>46194.583333333336</v>
      </c>
      <c r="C275" t="s">
        <v>13</v>
      </c>
      <c r="D275" t="s">
        <v>7</v>
      </c>
      <c r="E275" t="s">
        <v>63</v>
      </c>
      <c r="F275" t="s">
        <v>69</v>
      </c>
      <c r="G275">
        <v>1.38</v>
      </c>
      <c r="H275">
        <v>3.05</v>
      </c>
      <c r="I275" s="2">
        <v>46189.894907407404</v>
      </c>
    </row>
    <row r="276" spans="1:9" x14ac:dyDescent="0.25">
      <c r="A276">
        <v>129991605</v>
      </c>
      <c r="B276" s="2">
        <v>46194.583333333336</v>
      </c>
      <c r="C276" t="s">
        <v>13</v>
      </c>
      <c r="D276" t="s">
        <v>7</v>
      </c>
      <c r="E276" t="s">
        <v>64</v>
      </c>
      <c r="F276" t="s">
        <v>69</v>
      </c>
      <c r="G276">
        <v>1.37</v>
      </c>
      <c r="H276">
        <v>3.45</v>
      </c>
      <c r="I276" s="2">
        <v>46189.89534722222</v>
      </c>
    </row>
    <row r="277" spans="1:9" x14ac:dyDescent="0.25">
      <c r="A277">
        <v>129991606</v>
      </c>
      <c r="B277" s="2">
        <v>46194.670138888891</v>
      </c>
      <c r="C277" t="s">
        <v>15</v>
      </c>
      <c r="D277" t="s">
        <v>4</v>
      </c>
      <c r="E277" t="s">
        <v>61</v>
      </c>
      <c r="F277" t="s">
        <v>69</v>
      </c>
      <c r="G277">
        <v>1.38</v>
      </c>
      <c r="H277">
        <v>3.08</v>
      </c>
      <c r="I277" s="2">
        <v>46189.895057870373</v>
      </c>
    </row>
    <row r="278" spans="1:9" x14ac:dyDescent="0.25">
      <c r="A278">
        <v>129991606</v>
      </c>
      <c r="B278" s="2">
        <v>46194.670138888891</v>
      </c>
      <c r="C278" t="s">
        <v>15</v>
      </c>
      <c r="D278" t="s">
        <v>4</v>
      </c>
      <c r="E278" t="s">
        <v>66</v>
      </c>
      <c r="F278" t="s">
        <v>69</v>
      </c>
      <c r="G278">
        <v>1.4</v>
      </c>
      <c r="H278">
        <v>2.95</v>
      </c>
      <c r="I278" s="2">
        <v>46189.895509259259</v>
      </c>
    </row>
    <row r="279" spans="1:9" x14ac:dyDescent="0.25">
      <c r="A279">
        <v>129991606</v>
      </c>
      <c r="B279" s="2">
        <v>46194.670138888891</v>
      </c>
      <c r="C279" t="s">
        <v>15</v>
      </c>
      <c r="D279" t="s">
        <v>4</v>
      </c>
      <c r="E279" t="s">
        <v>63</v>
      </c>
      <c r="F279" t="s">
        <v>69</v>
      </c>
      <c r="G279">
        <v>1.4</v>
      </c>
      <c r="H279">
        <v>2.95</v>
      </c>
      <c r="I279" s="2">
        <v>46189.894907407404</v>
      </c>
    </row>
    <row r="280" spans="1:9" x14ac:dyDescent="0.25">
      <c r="A280">
        <v>129991606</v>
      </c>
      <c r="B280" s="2">
        <v>46194.670138888891</v>
      </c>
      <c r="C280" t="s">
        <v>15</v>
      </c>
      <c r="D280" t="s">
        <v>4</v>
      </c>
      <c r="E280" t="s">
        <v>62</v>
      </c>
      <c r="F280" t="s">
        <v>69</v>
      </c>
      <c r="G280">
        <v>1.4</v>
      </c>
      <c r="H280">
        <v>3</v>
      </c>
      <c r="I280" s="2">
        <v>46189.89534722222</v>
      </c>
    </row>
    <row r="281" spans="1:9" x14ac:dyDescent="0.25">
      <c r="A281">
        <v>129991606</v>
      </c>
      <c r="B281" s="2">
        <v>46194.670138888891</v>
      </c>
      <c r="C281" t="s">
        <v>15</v>
      </c>
      <c r="D281" t="s">
        <v>4</v>
      </c>
      <c r="E281" t="s">
        <v>70</v>
      </c>
      <c r="F281" t="s">
        <v>69</v>
      </c>
      <c r="G281">
        <v>1.4</v>
      </c>
      <c r="H281">
        <v>3</v>
      </c>
      <c r="I281" s="2">
        <v>46189.895335648151</v>
      </c>
    </row>
    <row r="282" spans="1:9" x14ac:dyDescent="0.25">
      <c r="A282">
        <v>129991606</v>
      </c>
      <c r="B282" s="2">
        <v>46194.670138888891</v>
      </c>
      <c r="C282" t="s">
        <v>15</v>
      </c>
      <c r="D282" t="s">
        <v>4</v>
      </c>
      <c r="E282" t="s">
        <v>65</v>
      </c>
      <c r="F282" t="s">
        <v>69</v>
      </c>
      <c r="G282">
        <v>1.4</v>
      </c>
      <c r="H282">
        <v>3</v>
      </c>
      <c r="I282" s="2">
        <v>46189.895196759258</v>
      </c>
    </row>
    <row r="283" spans="1:9" x14ac:dyDescent="0.25">
      <c r="A283">
        <v>129991606</v>
      </c>
      <c r="B283" s="2">
        <v>46194.670138888891</v>
      </c>
      <c r="C283" t="s">
        <v>15</v>
      </c>
      <c r="D283" t="s">
        <v>4</v>
      </c>
      <c r="E283" t="s">
        <v>67</v>
      </c>
      <c r="F283" t="s">
        <v>69</v>
      </c>
      <c r="G283">
        <v>1.4</v>
      </c>
      <c r="H283">
        <v>2.9</v>
      </c>
      <c r="I283" s="2">
        <v>46189.894918981481</v>
      </c>
    </row>
    <row r="284" spans="1:9" x14ac:dyDescent="0.25">
      <c r="A284">
        <v>129991606</v>
      </c>
      <c r="B284" s="2">
        <v>46194.670138888891</v>
      </c>
      <c r="C284" t="s">
        <v>15</v>
      </c>
      <c r="D284" t="s">
        <v>4</v>
      </c>
      <c r="E284" t="s">
        <v>73</v>
      </c>
      <c r="F284" t="s">
        <v>69</v>
      </c>
      <c r="G284">
        <v>1.37</v>
      </c>
      <c r="H284">
        <v>3.05</v>
      </c>
      <c r="I284" s="2">
        <v>46189.894907407404</v>
      </c>
    </row>
    <row r="285" spans="1:9" x14ac:dyDescent="0.25">
      <c r="A285">
        <v>129991606</v>
      </c>
      <c r="B285" s="2">
        <v>46194.670138888891</v>
      </c>
      <c r="C285" t="s">
        <v>15</v>
      </c>
      <c r="D285" t="s">
        <v>4</v>
      </c>
      <c r="E285" t="s">
        <v>72</v>
      </c>
      <c r="F285" t="s">
        <v>69</v>
      </c>
      <c r="G285">
        <v>1.36</v>
      </c>
      <c r="H285">
        <v>3.1</v>
      </c>
      <c r="I285" s="2">
        <v>46189.895208333335</v>
      </c>
    </row>
    <row r="286" spans="1:9" x14ac:dyDescent="0.25">
      <c r="A286">
        <v>129991606</v>
      </c>
      <c r="B286" s="2">
        <v>46194.670138888891</v>
      </c>
      <c r="C286" t="s">
        <v>15</v>
      </c>
      <c r="D286" t="s">
        <v>4</v>
      </c>
      <c r="E286" t="s">
        <v>71</v>
      </c>
      <c r="F286" t="s">
        <v>69</v>
      </c>
      <c r="G286">
        <v>1.4</v>
      </c>
      <c r="H286">
        <v>2.95</v>
      </c>
      <c r="I286" s="2">
        <v>46189.895069444443</v>
      </c>
    </row>
    <row r="287" spans="1:9" x14ac:dyDescent="0.25">
      <c r="A287">
        <v>129991606</v>
      </c>
      <c r="B287" s="2">
        <v>46194.670138888891</v>
      </c>
      <c r="C287" t="s">
        <v>15</v>
      </c>
      <c r="D287" t="s">
        <v>4</v>
      </c>
      <c r="E287" t="s">
        <v>64</v>
      </c>
      <c r="F287" t="s">
        <v>69</v>
      </c>
      <c r="G287">
        <v>1.4</v>
      </c>
      <c r="H287">
        <v>3.25</v>
      </c>
      <c r="I287" s="2">
        <v>46189.89534722222</v>
      </c>
    </row>
    <row r="288" spans="1:9" x14ac:dyDescent="0.25">
      <c r="A288">
        <v>129991607</v>
      </c>
      <c r="B288" s="2">
        <v>46194.760416666664</v>
      </c>
      <c r="C288" t="s">
        <v>10</v>
      </c>
      <c r="D288" t="s">
        <v>6</v>
      </c>
      <c r="E288" t="s">
        <v>61</v>
      </c>
      <c r="F288" t="s">
        <v>69</v>
      </c>
      <c r="G288">
        <v>1.52</v>
      </c>
      <c r="H288">
        <v>2.5299999999999998</v>
      </c>
      <c r="I288" s="2">
        <v>46189.895057870373</v>
      </c>
    </row>
    <row r="289" spans="1:9" x14ac:dyDescent="0.25">
      <c r="A289">
        <v>129991607</v>
      </c>
      <c r="B289" s="2">
        <v>46194.760416666664</v>
      </c>
      <c r="C289" t="s">
        <v>10</v>
      </c>
      <c r="D289" t="s">
        <v>6</v>
      </c>
      <c r="E289" t="s">
        <v>66</v>
      </c>
      <c r="F289" t="s">
        <v>69</v>
      </c>
      <c r="G289">
        <v>1.58</v>
      </c>
      <c r="H289">
        <v>2.4</v>
      </c>
      <c r="I289" s="2">
        <v>46189.895509259259</v>
      </c>
    </row>
    <row r="290" spans="1:9" x14ac:dyDescent="0.25">
      <c r="A290">
        <v>129991607</v>
      </c>
      <c r="B290" s="2">
        <v>46194.760416666664</v>
      </c>
      <c r="C290" t="s">
        <v>10</v>
      </c>
      <c r="D290" t="s">
        <v>6</v>
      </c>
      <c r="E290" t="s">
        <v>63</v>
      </c>
      <c r="F290" t="s">
        <v>69</v>
      </c>
      <c r="G290">
        <v>1.6</v>
      </c>
      <c r="H290">
        <v>2.35</v>
      </c>
      <c r="I290" s="2">
        <v>46189.894907407404</v>
      </c>
    </row>
    <row r="291" spans="1:9" x14ac:dyDescent="0.25">
      <c r="A291">
        <v>129991607</v>
      </c>
      <c r="B291" s="2">
        <v>46194.760416666664</v>
      </c>
      <c r="C291" t="s">
        <v>10</v>
      </c>
      <c r="D291" t="s">
        <v>6</v>
      </c>
      <c r="E291" t="s">
        <v>62</v>
      </c>
      <c r="F291" t="s">
        <v>69</v>
      </c>
      <c r="G291">
        <v>1.58</v>
      </c>
      <c r="H291">
        <v>2.4</v>
      </c>
      <c r="I291" s="2">
        <v>46189.89534722222</v>
      </c>
    </row>
    <row r="292" spans="1:9" x14ac:dyDescent="0.25">
      <c r="A292">
        <v>129991607</v>
      </c>
      <c r="B292" s="2">
        <v>46194.760416666664</v>
      </c>
      <c r="C292" t="s">
        <v>10</v>
      </c>
      <c r="D292" t="s">
        <v>6</v>
      </c>
      <c r="E292" t="s">
        <v>70</v>
      </c>
      <c r="F292" t="s">
        <v>69</v>
      </c>
      <c r="G292">
        <v>1.55</v>
      </c>
      <c r="H292">
        <v>2.4500000000000002</v>
      </c>
      <c r="I292" s="2">
        <v>46189.895335648151</v>
      </c>
    </row>
    <row r="293" spans="1:9" x14ac:dyDescent="0.25">
      <c r="A293">
        <v>129991607</v>
      </c>
      <c r="B293" s="2">
        <v>46194.760416666664</v>
      </c>
      <c r="C293" t="s">
        <v>10</v>
      </c>
      <c r="D293" t="s">
        <v>6</v>
      </c>
      <c r="E293" t="s">
        <v>65</v>
      </c>
      <c r="F293" t="s">
        <v>69</v>
      </c>
      <c r="G293">
        <v>1.55</v>
      </c>
      <c r="H293">
        <v>2.4500000000000002</v>
      </c>
      <c r="I293" s="2">
        <v>46189.895196759258</v>
      </c>
    </row>
    <row r="294" spans="1:9" x14ac:dyDescent="0.25">
      <c r="A294">
        <v>129991607</v>
      </c>
      <c r="B294" s="2">
        <v>46194.760416666664</v>
      </c>
      <c r="C294" t="s">
        <v>10</v>
      </c>
      <c r="D294" t="s">
        <v>6</v>
      </c>
      <c r="E294" t="s">
        <v>67</v>
      </c>
      <c r="F294" t="s">
        <v>69</v>
      </c>
      <c r="G294">
        <v>1.55</v>
      </c>
      <c r="H294">
        <v>2.4</v>
      </c>
      <c r="I294" s="2">
        <v>46189.894918981481</v>
      </c>
    </row>
    <row r="295" spans="1:9" x14ac:dyDescent="0.25">
      <c r="A295">
        <v>129991607</v>
      </c>
      <c r="B295" s="2">
        <v>46194.760416666664</v>
      </c>
      <c r="C295" t="s">
        <v>10</v>
      </c>
      <c r="D295" t="s">
        <v>6</v>
      </c>
      <c r="E295" t="s">
        <v>72</v>
      </c>
      <c r="F295" t="s">
        <v>69</v>
      </c>
      <c r="G295">
        <v>1.54</v>
      </c>
      <c r="H295">
        <v>2.48</v>
      </c>
      <c r="I295" s="2">
        <v>46189.895208333335</v>
      </c>
    </row>
    <row r="296" spans="1:9" x14ac:dyDescent="0.25">
      <c r="A296">
        <v>129991607</v>
      </c>
      <c r="B296" s="2">
        <v>46194.760416666664</v>
      </c>
      <c r="C296" t="s">
        <v>10</v>
      </c>
      <c r="D296" t="s">
        <v>6</v>
      </c>
      <c r="E296" t="s">
        <v>73</v>
      </c>
      <c r="F296" t="s">
        <v>69</v>
      </c>
      <c r="G296">
        <v>1.53</v>
      </c>
      <c r="H296">
        <v>2.4500000000000002</v>
      </c>
      <c r="I296" s="2">
        <v>46189.894907407404</v>
      </c>
    </row>
    <row r="297" spans="1:9" x14ac:dyDescent="0.25">
      <c r="A297">
        <v>129991607</v>
      </c>
      <c r="B297" s="2">
        <v>46194.760416666664</v>
      </c>
      <c r="C297" t="s">
        <v>10</v>
      </c>
      <c r="D297" t="s">
        <v>6</v>
      </c>
      <c r="E297" t="s">
        <v>71</v>
      </c>
      <c r="F297" t="s">
        <v>69</v>
      </c>
      <c r="G297">
        <v>1.58</v>
      </c>
      <c r="H297">
        <v>2.4</v>
      </c>
      <c r="I297" s="2">
        <v>46189.895069444443</v>
      </c>
    </row>
    <row r="298" spans="1:9" x14ac:dyDescent="0.25">
      <c r="A298">
        <v>129991607</v>
      </c>
      <c r="B298" s="2">
        <v>46194.760416666664</v>
      </c>
      <c r="C298" t="s">
        <v>10</v>
      </c>
      <c r="D298" t="s">
        <v>6</v>
      </c>
      <c r="E298" t="s">
        <v>64</v>
      </c>
      <c r="F298" t="s">
        <v>69</v>
      </c>
      <c r="G298">
        <v>1.54</v>
      </c>
      <c r="H298">
        <v>2.66</v>
      </c>
      <c r="I298" s="2">
        <v>46189.89534722222</v>
      </c>
    </row>
    <row r="299" spans="1:9" x14ac:dyDescent="0.25">
      <c r="A299">
        <v>129991501</v>
      </c>
      <c r="B299" s="2">
        <v>46184.826388888891</v>
      </c>
      <c r="C299" t="s">
        <v>14</v>
      </c>
      <c r="D299" t="s">
        <v>9</v>
      </c>
      <c r="E299" t="s">
        <v>61</v>
      </c>
      <c r="F299" t="s">
        <v>69</v>
      </c>
      <c r="G299">
        <v>1.48</v>
      </c>
      <c r="H299">
        <v>2.66</v>
      </c>
      <c r="I299" s="2">
        <v>46183.484849537039</v>
      </c>
    </row>
    <row r="300" spans="1:9" x14ac:dyDescent="0.25">
      <c r="A300">
        <v>129991501</v>
      </c>
      <c r="B300" s="2">
        <v>46184.826388888891</v>
      </c>
      <c r="C300" t="s">
        <v>14</v>
      </c>
      <c r="D300" t="s">
        <v>9</v>
      </c>
      <c r="E300" t="s">
        <v>62</v>
      </c>
      <c r="F300" t="s">
        <v>69</v>
      </c>
      <c r="G300">
        <v>1.52</v>
      </c>
      <c r="H300">
        <v>2.5499999999999998</v>
      </c>
      <c r="I300" s="2">
        <v>46183.4846412037</v>
      </c>
    </row>
    <row r="301" spans="1:9" x14ac:dyDescent="0.25">
      <c r="A301">
        <v>129991501</v>
      </c>
      <c r="B301" s="2">
        <v>46184.826388888891</v>
      </c>
      <c r="C301" t="s">
        <v>14</v>
      </c>
      <c r="D301" t="s">
        <v>9</v>
      </c>
      <c r="E301" t="s">
        <v>63</v>
      </c>
      <c r="F301" t="s">
        <v>69</v>
      </c>
      <c r="G301">
        <v>1.46</v>
      </c>
      <c r="H301">
        <v>2.72</v>
      </c>
      <c r="I301" s="2">
        <v>46183.485509259262</v>
      </c>
    </row>
    <row r="302" spans="1:9" x14ac:dyDescent="0.25">
      <c r="A302">
        <v>129991501</v>
      </c>
      <c r="B302" s="2">
        <v>46184.826388888891</v>
      </c>
      <c r="C302" t="s">
        <v>14</v>
      </c>
      <c r="D302" t="s">
        <v>9</v>
      </c>
      <c r="E302" t="s">
        <v>66</v>
      </c>
      <c r="F302" t="s">
        <v>69</v>
      </c>
      <c r="G302">
        <v>1.5</v>
      </c>
      <c r="H302">
        <v>2.6</v>
      </c>
      <c r="I302" s="2">
        <v>46183.484826388885</v>
      </c>
    </row>
    <row r="303" spans="1:9" x14ac:dyDescent="0.25">
      <c r="A303">
        <v>129991501</v>
      </c>
      <c r="B303" s="2">
        <v>46184.826388888891</v>
      </c>
      <c r="C303" t="s">
        <v>14</v>
      </c>
      <c r="D303" t="s">
        <v>9</v>
      </c>
      <c r="E303" t="s">
        <v>70</v>
      </c>
      <c r="F303" t="s">
        <v>69</v>
      </c>
      <c r="G303">
        <v>1.5</v>
      </c>
      <c r="H303">
        <v>2.65</v>
      </c>
      <c r="I303" s="2">
        <v>46183.485254629632</v>
      </c>
    </row>
    <row r="304" spans="1:9" x14ac:dyDescent="0.25">
      <c r="A304">
        <v>129991501</v>
      </c>
      <c r="B304" s="2">
        <v>46184.826388888891</v>
      </c>
      <c r="C304" t="s">
        <v>14</v>
      </c>
      <c r="D304" t="s">
        <v>9</v>
      </c>
      <c r="E304" t="s">
        <v>65</v>
      </c>
      <c r="F304" t="s">
        <v>69</v>
      </c>
      <c r="G304">
        <v>1.5</v>
      </c>
      <c r="H304">
        <v>2.65</v>
      </c>
      <c r="I304" s="2">
        <v>46183.485289351855</v>
      </c>
    </row>
    <row r="305" spans="1:9" x14ac:dyDescent="0.25">
      <c r="A305">
        <v>129991501</v>
      </c>
      <c r="B305" s="2">
        <v>46184.826388888891</v>
      </c>
      <c r="C305" t="s">
        <v>14</v>
      </c>
      <c r="D305" t="s">
        <v>9</v>
      </c>
      <c r="E305" t="s">
        <v>67</v>
      </c>
      <c r="F305" t="s">
        <v>69</v>
      </c>
      <c r="G305">
        <v>1.5</v>
      </c>
      <c r="H305">
        <v>2.5499999999999998</v>
      </c>
      <c r="I305" s="2">
        <v>46183.485266203701</v>
      </c>
    </row>
    <row r="306" spans="1:9" x14ac:dyDescent="0.25">
      <c r="A306">
        <v>129991501</v>
      </c>
      <c r="B306" s="2">
        <v>46184.826388888891</v>
      </c>
      <c r="C306" t="s">
        <v>14</v>
      </c>
      <c r="D306" t="s">
        <v>9</v>
      </c>
      <c r="E306" t="s">
        <v>71</v>
      </c>
      <c r="F306" t="s">
        <v>69</v>
      </c>
      <c r="G306">
        <v>1.52</v>
      </c>
      <c r="H306">
        <v>2.5499999999999998</v>
      </c>
      <c r="I306" s="2">
        <v>46183.484837962962</v>
      </c>
    </row>
    <row r="307" spans="1:9" x14ac:dyDescent="0.25">
      <c r="A307">
        <v>129991501</v>
      </c>
      <c r="B307" s="2">
        <v>46184.826388888891</v>
      </c>
      <c r="C307" t="s">
        <v>14</v>
      </c>
      <c r="D307" t="s">
        <v>9</v>
      </c>
      <c r="E307" t="s">
        <v>72</v>
      </c>
      <c r="F307" t="s">
        <v>69</v>
      </c>
      <c r="G307">
        <v>1.51</v>
      </c>
      <c r="H307">
        <v>2.5499999999999998</v>
      </c>
      <c r="I307" s="2">
        <v>46183.485254629632</v>
      </c>
    </row>
    <row r="308" spans="1:9" x14ac:dyDescent="0.25">
      <c r="A308">
        <v>129991501</v>
      </c>
      <c r="B308" s="2">
        <v>46184.826388888891</v>
      </c>
      <c r="C308" t="s">
        <v>14</v>
      </c>
      <c r="D308" t="s">
        <v>9</v>
      </c>
      <c r="E308" t="s">
        <v>73</v>
      </c>
      <c r="F308" t="s">
        <v>69</v>
      </c>
      <c r="G308">
        <v>1.5</v>
      </c>
      <c r="H308">
        <v>2.5499999999999998</v>
      </c>
      <c r="I308" s="2">
        <v>46183.485266203701</v>
      </c>
    </row>
    <row r="309" spans="1:9" x14ac:dyDescent="0.25">
      <c r="A309">
        <v>129991501</v>
      </c>
      <c r="B309" s="2">
        <v>46184.826388888891</v>
      </c>
      <c r="C309" t="s">
        <v>14</v>
      </c>
      <c r="D309" t="s">
        <v>9</v>
      </c>
      <c r="E309" t="s">
        <v>64</v>
      </c>
      <c r="F309" t="s">
        <v>69</v>
      </c>
      <c r="G309">
        <v>1.5</v>
      </c>
      <c r="H309">
        <v>2.56</v>
      </c>
      <c r="I309" s="2">
        <v>46183.485266203701</v>
      </c>
    </row>
    <row r="310" spans="1:9" x14ac:dyDescent="0.25">
      <c r="A310">
        <v>129991502</v>
      </c>
      <c r="B310" s="2">
        <v>46185.833333333336</v>
      </c>
      <c r="C310" t="s">
        <v>12</v>
      </c>
      <c r="D310" t="s">
        <v>10</v>
      </c>
      <c r="E310" t="s">
        <v>61</v>
      </c>
      <c r="F310" t="s">
        <v>69</v>
      </c>
      <c r="G310">
        <v>1.48</v>
      </c>
      <c r="H310">
        <v>2.66</v>
      </c>
      <c r="I310" s="2">
        <v>46183.484849537039</v>
      </c>
    </row>
    <row r="311" spans="1:9" x14ac:dyDescent="0.25">
      <c r="A311">
        <v>129991502</v>
      </c>
      <c r="B311" s="2">
        <v>46185.833333333336</v>
      </c>
      <c r="C311" t="s">
        <v>12</v>
      </c>
      <c r="D311" t="s">
        <v>10</v>
      </c>
      <c r="E311" t="s">
        <v>66</v>
      </c>
      <c r="F311" t="s">
        <v>69</v>
      </c>
      <c r="G311">
        <v>1.47</v>
      </c>
      <c r="H311">
        <v>2.7</v>
      </c>
      <c r="I311" s="2">
        <v>46183.484826388885</v>
      </c>
    </row>
    <row r="312" spans="1:9" x14ac:dyDescent="0.25">
      <c r="A312">
        <v>129991502</v>
      </c>
      <c r="B312" s="2">
        <v>46185.833333333336</v>
      </c>
      <c r="C312" t="s">
        <v>12</v>
      </c>
      <c r="D312" t="s">
        <v>10</v>
      </c>
      <c r="E312" t="s">
        <v>63</v>
      </c>
      <c r="F312" t="s">
        <v>69</v>
      </c>
      <c r="G312">
        <v>1.47</v>
      </c>
      <c r="H312">
        <v>2.7</v>
      </c>
      <c r="I312" s="2">
        <v>46183.485509259262</v>
      </c>
    </row>
    <row r="313" spans="1:9" x14ac:dyDescent="0.25">
      <c r="A313">
        <v>129991502</v>
      </c>
      <c r="B313" s="2">
        <v>46185.833333333336</v>
      </c>
      <c r="C313" t="s">
        <v>12</v>
      </c>
      <c r="D313" t="s">
        <v>10</v>
      </c>
      <c r="E313" t="s">
        <v>62</v>
      </c>
      <c r="F313" t="s">
        <v>69</v>
      </c>
      <c r="G313">
        <v>1.48</v>
      </c>
      <c r="H313">
        <v>2.65</v>
      </c>
      <c r="I313" s="2">
        <v>46183.4846412037</v>
      </c>
    </row>
    <row r="314" spans="1:9" x14ac:dyDescent="0.25">
      <c r="A314">
        <v>129991502</v>
      </c>
      <c r="B314" s="2">
        <v>46185.833333333336</v>
      </c>
      <c r="C314" t="s">
        <v>12</v>
      </c>
      <c r="D314" t="s">
        <v>10</v>
      </c>
      <c r="E314" t="s">
        <v>65</v>
      </c>
      <c r="F314" t="s">
        <v>69</v>
      </c>
      <c r="G314">
        <v>1.5</v>
      </c>
      <c r="H314">
        <v>2.65</v>
      </c>
      <c r="I314" s="2">
        <v>46183.485289351855</v>
      </c>
    </row>
    <row r="315" spans="1:9" x14ac:dyDescent="0.25">
      <c r="A315">
        <v>129991502</v>
      </c>
      <c r="B315" s="2">
        <v>46185.833333333336</v>
      </c>
      <c r="C315" t="s">
        <v>12</v>
      </c>
      <c r="D315" t="s">
        <v>10</v>
      </c>
      <c r="E315" t="s">
        <v>70</v>
      </c>
      <c r="F315" t="s">
        <v>69</v>
      </c>
      <c r="G315">
        <v>1.5</v>
      </c>
      <c r="H315">
        <v>2.65</v>
      </c>
      <c r="I315" s="2">
        <v>46183.485254629632</v>
      </c>
    </row>
    <row r="316" spans="1:9" x14ac:dyDescent="0.25">
      <c r="A316">
        <v>129991502</v>
      </c>
      <c r="B316" s="2">
        <v>46185.833333333336</v>
      </c>
      <c r="C316" t="s">
        <v>12</v>
      </c>
      <c r="D316" t="s">
        <v>10</v>
      </c>
      <c r="E316" t="s">
        <v>67</v>
      </c>
      <c r="F316" t="s">
        <v>69</v>
      </c>
      <c r="G316">
        <v>1.5</v>
      </c>
      <c r="H316">
        <v>2.5499999999999998</v>
      </c>
      <c r="I316" s="2">
        <v>46183.485266203701</v>
      </c>
    </row>
    <row r="317" spans="1:9" x14ac:dyDescent="0.25">
      <c r="A317">
        <v>129991502</v>
      </c>
      <c r="B317" s="2">
        <v>46185.833333333336</v>
      </c>
      <c r="C317" t="s">
        <v>12</v>
      </c>
      <c r="D317" t="s">
        <v>10</v>
      </c>
      <c r="E317" t="s">
        <v>71</v>
      </c>
      <c r="F317" t="s">
        <v>69</v>
      </c>
      <c r="G317">
        <v>1.48</v>
      </c>
      <c r="H317">
        <v>2.65</v>
      </c>
      <c r="I317" s="2">
        <v>46183.484837962962</v>
      </c>
    </row>
    <row r="318" spans="1:9" x14ac:dyDescent="0.25">
      <c r="A318">
        <v>129991502</v>
      </c>
      <c r="B318" s="2">
        <v>46185.833333333336</v>
      </c>
      <c r="C318" t="s">
        <v>12</v>
      </c>
      <c r="D318" t="s">
        <v>10</v>
      </c>
      <c r="E318" t="s">
        <v>73</v>
      </c>
      <c r="F318" t="s">
        <v>69</v>
      </c>
      <c r="G318">
        <v>1.48</v>
      </c>
      <c r="H318">
        <v>2.6</v>
      </c>
      <c r="I318" s="2">
        <v>46183.485266203701</v>
      </c>
    </row>
    <row r="319" spans="1:9" x14ac:dyDescent="0.25">
      <c r="A319">
        <v>129991502</v>
      </c>
      <c r="B319" s="2">
        <v>46185.833333333336</v>
      </c>
      <c r="C319" t="s">
        <v>12</v>
      </c>
      <c r="D319" t="s">
        <v>10</v>
      </c>
      <c r="E319" t="s">
        <v>72</v>
      </c>
      <c r="F319" t="s">
        <v>69</v>
      </c>
      <c r="G319">
        <v>1.49</v>
      </c>
      <c r="H319">
        <v>2.63</v>
      </c>
      <c r="I319" s="2">
        <v>46183.485254629632</v>
      </c>
    </row>
    <row r="320" spans="1:9" x14ac:dyDescent="0.25">
      <c r="A320">
        <v>129991502</v>
      </c>
      <c r="B320" s="2">
        <v>46185.833333333336</v>
      </c>
      <c r="C320" t="s">
        <v>12</v>
      </c>
      <c r="D320" t="s">
        <v>10</v>
      </c>
      <c r="E320" t="s">
        <v>64</v>
      </c>
      <c r="F320" t="s">
        <v>69</v>
      </c>
      <c r="G320">
        <v>1.5</v>
      </c>
      <c r="H320">
        <v>2.66</v>
      </c>
      <c r="I320" s="2">
        <v>46183.485266203701</v>
      </c>
    </row>
    <row r="321" spans="1:9" x14ac:dyDescent="0.25">
      <c r="A321">
        <v>129991503</v>
      </c>
      <c r="B321" s="2">
        <v>46186.732638888891</v>
      </c>
      <c r="C321" t="s">
        <v>13</v>
      </c>
      <c r="D321" t="s">
        <v>6</v>
      </c>
      <c r="E321" t="s">
        <v>61</v>
      </c>
      <c r="F321" t="s">
        <v>69</v>
      </c>
      <c r="G321">
        <v>1.35</v>
      </c>
      <c r="H321">
        <v>3.25</v>
      </c>
      <c r="I321" s="2">
        <v>46183.484849537039</v>
      </c>
    </row>
    <row r="322" spans="1:9" x14ac:dyDescent="0.25">
      <c r="A322">
        <v>129991503</v>
      </c>
      <c r="B322" s="2">
        <v>46186.732638888891</v>
      </c>
      <c r="C322" t="s">
        <v>13</v>
      </c>
      <c r="D322" t="s">
        <v>6</v>
      </c>
      <c r="E322" t="s">
        <v>66</v>
      </c>
      <c r="F322" t="s">
        <v>69</v>
      </c>
      <c r="G322">
        <v>1.4</v>
      </c>
      <c r="H322">
        <v>2.95</v>
      </c>
      <c r="I322" s="2">
        <v>46183.484826388885</v>
      </c>
    </row>
    <row r="323" spans="1:9" x14ac:dyDescent="0.25">
      <c r="A323">
        <v>129991503</v>
      </c>
      <c r="B323" s="2">
        <v>46186.732638888891</v>
      </c>
      <c r="C323" t="s">
        <v>13</v>
      </c>
      <c r="D323" t="s">
        <v>6</v>
      </c>
      <c r="E323" t="s">
        <v>63</v>
      </c>
      <c r="F323" t="s">
        <v>69</v>
      </c>
      <c r="G323">
        <v>1.35</v>
      </c>
      <c r="H323">
        <v>3.2</v>
      </c>
      <c r="I323" s="2">
        <v>46183.485509259262</v>
      </c>
    </row>
    <row r="324" spans="1:9" x14ac:dyDescent="0.25">
      <c r="A324">
        <v>129991503</v>
      </c>
      <c r="B324" s="2">
        <v>46186.732638888891</v>
      </c>
      <c r="C324" t="s">
        <v>13</v>
      </c>
      <c r="D324" t="s">
        <v>6</v>
      </c>
      <c r="E324" t="s">
        <v>62</v>
      </c>
      <c r="F324" t="s">
        <v>69</v>
      </c>
      <c r="G324">
        <v>1.4</v>
      </c>
      <c r="H324">
        <v>3</v>
      </c>
      <c r="I324" s="2">
        <v>46183.4846412037</v>
      </c>
    </row>
    <row r="325" spans="1:9" x14ac:dyDescent="0.25">
      <c r="A325">
        <v>129991503</v>
      </c>
      <c r="B325" s="2">
        <v>46186.732638888891</v>
      </c>
      <c r="C325" t="s">
        <v>13</v>
      </c>
      <c r="D325" t="s">
        <v>6</v>
      </c>
      <c r="E325" t="s">
        <v>65</v>
      </c>
      <c r="F325" t="s">
        <v>69</v>
      </c>
      <c r="G325">
        <v>1.32</v>
      </c>
      <c r="H325">
        <v>3.4</v>
      </c>
      <c r="I325" s="2">
        <v>46183.485289351855</v>
      </c>
    </row>
    <row r="326" spans="1:9" x14ac:dyDescent="0.25">
      <c r="A326">
        <v>129991503</v>
      </c>
      <c r="B326" s="2">
        <v>46186.732638888891</v>
      </c>
      <c r="C326" t="s">
        <v>13</v>
      </c>
      <c r="D326" t="s">
        <v>6</v>
      </c>
      <c r="E326" t="s">
        <v>70</v>
      </c>
      <c r="F326" t="s">
        <v>69</v>
      </c>
      <c r="G326">
        <v>1.32</v>
      </c>
      <c r="H326">
        <v>3.4</v>
      </c>
      <c r="I326" s="2">
        <v>46183.485254629632</v>
      </c>
    </row>
    <row r="327" spans="1:9" x14ac:dyDescent="0.25">
      <c r="A327">
        <v>129991503</v>
      </c>
      <c r="B327" s="2">
        <v>46186.732638888891</v>
      </c>
      <c r="C327" t="s">
        <v>13</v>
      </c>
      <c r="D327" t="s">
        <v>6</v>
      </c>
      <c r="E327" t="s">
        <v>67</v>
      </c>
      <c r="F327" t="s">
        <v>69</v>
      </c>
      <c r="G327">
        <v>1.35</v>
      </c>
      <c r="H327">
        <v>3.15</v>
      </c>
      <c r="I327" s="2">
        <v>46183.485266203701</v>
      </c>
    </row>
    <row r="328" spans="1:9" x14ac:dyDescent="0.25">
      <c r="A328">
        <v>129991503</v>
      </c>
      <c r="B328" s="2">
        <v>46186.732638888891</v>
      </c>
      <c r="C328" t="s">
        <v>13</v>
      </c>
      <c r="D328" t="s">
        <v>6</v>
      </c>
      <c r="E328" t="s">
        <v>64</v>
      </c>
      <c r="F328" t="s">
        <v>69</v>
      </c>
      <c r="G328">
        <v>1.37</v>
      </c>
      <c r="H328">
        <v>2.2400000000000002</v>
      </c>
      <c r="I328" s="2">
        <v>46183.485266203701</v>
      </c>
    </row>
    <row r="329" spans="1:9" x14ac:dyDescent="0.25">
      <c r="A329">
        <v>129991503</v>
      </c>
      <c r="B329" s="2">
        <v>46186.732638888891</v>
      </c>
      <c r="C329" t="s">
        <v>13</v>
      </c>
      <c r="D329" t="s">
        <v>6</v>
      </c>
      <c r="E329" t="s">
        <v>71</v>
      </c>
      <c r="F329" t="s">
        <v>69</v>
      </c>
      <c r="G329">
        <v>1.4</v>
      </c>
      <c r="H329">
        <v>3</v>
      </c>
      <c r="I329" s="2">
        <v>46183.484837962962</v>
      </c>
    </row>
    <row r="330" spans="1:9" x14ac:dyDescent="0.25">
      <c r="A330">
        <v>129991503</v>
      </c>
      <c r="B330" s="2">
        <v>46186.732638888891</v>
      </c>
      <c r="C330" t="s">
        <v>13</v>
      </c>
      <c r="D330" t="s">
        <v>6</v>
      </c>
      <c r="E330" t="s">
        <v>73</v>
      </c>
      <c r="F330" t="s">
        <v>69</v>
      </c>
      <c r="G330">
        <v>1.4</v>
      </c>
      <c r="H330">
        <v>2.9</v>
      </c>
      <c r="I330" s="2">
        <v>46183.485266203701</v>
      </c>
    </row>
    <row r="331" spans="1:9" x14ac:dyDescent="0.25">
      <c r="A331">
        <v>129991503</v>
      </c>
      <c r="B331" s="2">
        <v>46186.732638888891</v>
      </c>
      <c r="C331" t="s">
        <v>13</v>
      </c>
      <c r="D331" t="s">
        <v>6</v>
      </c>
      <c r="E331" t="s">
        <v>72</v>
      </c>
      <c r="F331" t="s">
        <v>69</v>
      </c>
      <c r="G331">
        <v>1.41</v>
      </c>
      <c r="H331">
        <v>2.9</v>
      </c>
      <c r="I331" s="2">
        <v>46183.485254629632</v>
      </c>
    </row>
    <row r="332" spans="1:9" x14ac:dyDescent="0.25">
      <c r="A332">
        <v>129991504</v>
      </c>
      <c r="B332" s="2">
        <v>46186.815972222219</v>
      </c>
      <c r="C332" t="s">
        <v>18</v>
      </c>
      <c r="D332" t="s">
        <v>4</v>
      </c>
      <c r="E332" t="s">
        <v>61</v>
      </c>
      <c r="F332" t="s">
        <v>69</v>
      </c>
      <c r="G332">
        <v>2.2200000000000002</v>
      </c>
      <c r="H332">
        <v>1.67</v>
      </c>
      <c r="I332" s="2">
        <v>46183.484849537039</v>
      </c>
    </row>
    <row r="333" spans="1:9" x14ac:dyDescent="0.25">
      <c r="A333">
        <v>129991504</v>
      </c>
      <c r="B333" s="2">
        <v>46186.815972222219</v>
      </c>
      <c r="C333" t="s">
        <v>18</v>
      </c>
      <c r="D333" t="s">
        <v>4</v>
      </c>
      <c r="E333" t="s">
        <v>66</v>
      </c>
      <c r="F333" t="s">
        <v>69</v>
      </c>
      <c r="G333">
        <v>2.2000000000000002</v>
      </c>
      <c r="H333">
        <v>1.67</v>
      </c>
      <c r="I333" s="2">
        <v>46183.484826388885</v>
      </c>
    </row>
    <row r="334" spans="1:9" x14ac:dyDescent="0.25">
      <c r="A334">
        <v>129991504</v>
      </c>
      <c r="B334" s="2">
        <v>46186.815972222219</v>
      </c>
      <c r="C334" t="s">
        <v>18</v>
      </c>
      <c r="D334" t="s">
        <v>4</v>
      </c>
      <c r="E334" t="s">
        <v>63</v>
      </c>
      <c r="F334" t="s">
        <v>69</v>
      </c>
      <c r="G334">
        <v>2.2000000000000002</v>
      </c>
      <c r="H334">
        <v>1.67</v>
      </c>
      <c r="I334" s="2">
        <v>46183.485509259262</v>
      </c>
    </row>
    <row r="335" spans="1:9" x14ac:dyDescent="0.25">
      <c r="A335">
        <v>129991504</v>
      </c>
      <c r="B335" s="2">
        <v>46186.815972222219</v>
      </c>
      <c r="C335" t="s">
        <v>18</v>
      </c>
      <c r="D335" t="s">
        <v>4</v>
      </c>
      <c r="E335" t="s">
        <v>62</v>
      </c>
      <c r="F335" t="s">
        <v>69</v>
      </c>
      <c r="G335">
        <v>2.2000000000000002</v>
      </c>
      <c r="H335">
        <v>1.67</v>
      </c>
      <c r="I335" s="2">
        <v>46183.4846412037</v>
      </c>
    </row>
    <row r="336" spans="1:9" x14ac:dyDescent="0.25">
      <c r="A336">
        <v>129991504</v>
      </c>
      <c r="B336" s="2">
        <v>46186.815972222219</v>
      </c>
      <c r="C336" t="s">
        <v>18</v>
      </c>
      <c r="D336" t="s">
        <v>4</v>
      </c>
      <c r="E336" t="s">
        <v>65</v>
      </c>
      <c r="F336" t="s">
        <v>69</v>
      </c>
      <c r="G336">
        <v>2.15</v>
      </c>
      <c r="H336">
        <v>1.7</v>
      </c>
      <c r="I336" s="2">
        <v>46183.485289351855</v>
      </c>
    </row>
    <row r="337" spans="1:9" x14ac:dyDescent="0.25">
      <c r="A337">
        <v>129991504</v>
      </c>
      <c r="B337" s="2">
        <v>46186.815972222219</v>
      </c>
      <c r="C337" t="s">
        <v>18</v>
      </c>
      <c r="D337" t="s">
        <v>4</v>
      </c>
      <c r="E337" t="s">
        <v>70</v>
      </c>
      <c r="F337" t="s">
        <v>69</v>
      </c>
      <c r="G337">
        <v>2.15</v>
      </c>
      <c r="H337">
        <v>1.7</v>
      </c>
      <c r="I337" s="2">
        <v>46183.485254629632</v>
      </c>
    </row>
    <row r="338" spans="1:9" x14ac:dyDescent="0.25">
      <c r="A338">
        <v>129991504</v>
      </c>
      <c r="B338" s="2">
        <v>46186.815972222219</v>
      </c>
      <c r="C338" t="s">
        <v>18</v>
      </c>
      <c r="D338" t="s">
        <v>4</v>
      </c>
      <c r="E338" t="s">
        <v>67</v>
      </c>
      <c r="F338" t="s">
        <v>69</v>
      </c>
      <c r="G338">
        <v>2.2000000000000002</v>
      </c>
      <c r="H338">
        <v>1.65</v>
      </c>
      <c r="I338" s="2">
        <v>46183.485266203701</v>
      </c>
    </row>
    <row r="339" spans="1:9" x14ac:dyDescent="0.25">
      <c r="A339">
        <v>129991504</v>
      </c>
      <c r="B339" s="2">
        <v>46186.815972222219</v>
      </c>
      <c r="C339" t="s">
        <v>18</v>
      </c>
      <c r="D339" t="s">
        <v>4</v>
      </c>
      <c r="E339" t="s">
        <v>64</v>
      </c>
      <c r="F339" t="s">
        <v>69</v>
      </c>
      <c r="G339">
        <v>1.66</v>
      </c>
      <c r="H339">
        <v>1.72</v>
      </c>
      <c r="I339" s="2">
        <v>46183.485266203701</v>
      </c>
    </row>
    <row r="340" spans="1:9" x14ac:dyDescent="0.25">
      <c r="A340">
        <v>129991504</v>
      </c>
      <c r="B340" s="2">
        <v>46186.815972222219</v>
      </c>
      <c r="C340" t="s">
        <v>18</v>
      </c>
      <c r="D340" t="s">
        <v>4</v>
      </c>
      <c r="E340" t="s">
        <v>72</v>
      </c>
      <c r="F340" t="s">
        <v>69</v>
      </c>
      <c r="G340">
        <v>2.2000000000000002</v>
      </c>
      <c r="H340">
        <v>1.68</v>
      </c>
      <c r="I340" s="2">
        <v>46183.485254629632</v>
      </c>
    </row>
    <row r="341" spans="1:9" x14ac:dyDescent="0.25">
      <c r="A341">
        <v>129991504</v>
      </c>
      <c r="B341" s="2">
        <v>46186.815972222219</v>
      </c>
      <c r="C341" t="s">
        <v>18</v>
      </c>
      <c r="D341" t="s">
        <v>4</v>
      </c>
      <c r="E341" t="s">
        <v>73</v>
      </c>
      <c r="F341" t="s">
        <v>69</v>
      </c>
      <c r="G341">
        <v>2.1800000000000002</v>
      </c>
      <c r="H341">
        <v>1.67</v>
      </c>
      <c r="I341" s="2">
        <v>46183.485266203701</v>
      </c>
    </row>
    <row r="342" spans="1:9" x14ac:dyDescent="0.25">
      <c r="A342">
        <v>129991504</v>
      </c>
      <c r="B342" s="2">
        <v>46186.815972222219</v>
      </c>
      <c r="C342" t="s">
        <v>18</v>
      </c>
      <c r="D342" t="s">
        <v>4</v>
      </c>
      <c r="E342" t="s">
        <v>71</v>
      </c>
      <c r="F342" t="s">
        <v>69</v>
      </c>
      <c r="G342">
        <v>2.25</v>
      </c>
      <c r="H342">
        <v>1.65</v>
      </c>
      <c r="I342" s="2">
        <v>46183.484837962962</v>
      </c>
    </row>
    <row r="343" spans="1:9" x14ac:dyDescent="0.25">
      <c r="A343">
        <v>129991505</v>
      </c>
      <c r="B343" s="2">
        <v>46187.670138888891</v>
      </c>
      <c r="C343" t="s">
        <v>5</v>
      </c>
      <c r="D343" t="s">
        <v>22</v>
      </c>
      <c r="E343" t="s">
        <v>61</v>
      </c>
      <c r="F343" t="s">
        <v>69</v>
      </c>
      <c r="G343">
        <v>1.49</v>
      </c>
      <c r="H343">
        <v>2.63</v>
      </c>
      <c r="I343" s="2">
        <v>46183.484849537039</v>
      </c>
    </row>
    <row r="344" spans="1:9" x14ac:dyDescent="0.25">
      <c r="A344">
        <v>129991505</v>
      </c>
      <c r="B344" s="2">
        <v>46187.670138888891</v>
      </c>
      <c r="C344" t="s">
        <v>5</v>
      </c>
      <c r="D344" t="s">
        <v>22</v>
      </c>
      <c r="E344" t="s">
        <v>66</v>
      </c>
      <c r="F344" t="s">
        <v>69</v>
      </c>
      <c r="G344">
        <v>1.53</v>
      </c>
      <c r="H344">
        <v>2.5</v>
      </c>
      <c r="I344" s="2">
        <v>46183.484826388885</v>
      </c>
    </row>
    <row r="345" spans="1:9" x14ac:dyDescent="0.25">
      <c r="A345">
        <v>129991505</v>
      </c>
      <c r="B345" s="2">
        <v>46187.670138888891</v>
      </c>
      <c r="C345" t="s">
        <v>5</v>
      </c>
      <c r="D345" t="s">
        <v>22</v>
      </c>
      <c r="E345" t="s">
        <v>63</v>
      </c>
      <c r="F345" t="s">
        <v>69</v>
      </c>
      <c r="G345">
        <v>1.53</v>
      </c>
      <c r="H345">
        <v>2.5</v>
      </c>
      <c r="I345" s="2">
        <v>46183.485509259262</v>
      </c>
    </row>
    <row r="346" spans="1:9" x14ac:dyDescent="0.25">
      <c r="A346">
        <v>129991505</v>
      </c>
      <c r="B346" s="2">
        <v>46187.670138888891</v>
      </c>
      <c r="C346" t="s">
        <v>5</v>
      </c>
      <c r="D346" t="s">
        <v>22</v>
      </c>
      <c r="E346" t="s">
        <v>62</v>
      </c>
      <c r="F346" t="s">
        <v>69</v>
      </c>
      <c r="G346">
        <v>1.53</v>
      </c>
      <c r="H346">
        <v>2.5</v>
      </c>
      <c r="I346" s="2">
        <v>46183.4846412037</v>
      </c>
    </row>
    <row r="347" spans="1:9" x14ac:dyDescent="0.25">
      <c r="A347">
        <v>129991505</v>
      </c>
      <c r="B347" s="2">
        <v>46187.670138888891</v>
      </c>
      <c r="C347" t="s">
        <v>5</v>
      </c>
      <c r="D347" t="s">
        <v>22</v>
      </c>
      <c r="E347" t="s">
        <v>65</v>
      </c>
      <c r="F347" t="s">
        <v>69</v>
      </c>
      <c r="G347">
        <v>1.55</v>
      </c>
      <c r="H347">
        <v>2.4500000000000002</v>
      </c>
      <c r="I347" s="2">
        <v>46183.485289351855</v>
      </c>
    </row>
    <row r="348" spans="1:9" x14ac:dyDescent="0.25">
      <c r="A348">
        <v>129991505</v>
      </c>
      <c r="B348" s="2">
        <v>46187.670138888891</v>
      </c>
      <c r="C348" t="s">
        <v>5</v>
      </c>
      <c r="D348" t="s">
        <v>22</v>
      </c>
      <c r="E348" t="s">
        <v>70</v>
      </c>
      <c r="F348" t="s">
        <v>69</v>
      </c>
      <c r="G348">
        <v>1.55</v>
      </c>
      <c r="H348">
        <v>2.4500000000000002</v>
      </c>
      <c r="I348" s="2">
        <v>46183.485254629632</v>
      </c>
    </row>
    <row r="349" spans="1:9" x14ac:dyDescent="0.25">
      <c r="A349">
        <v>129991505</v>
      </c>
      <c r="B349" s="2">
        <v>46187.670138888891</v>
      </c>
      <c r="C349" t="s">
        <v>5</v>
      </c>
      <c r="D349" t="s">
        <v>22</v>
      </c>
      <c r="E349" t="s">
        <v>67</v>
      </c>
      <c r="F349" t="s">
        <v>69</v>
      </c>
      <c r="G349">
        <v>1.53</v>
      </c>
      <c r="H349">
        <v>2.4500000000000002</v>
      </c>
      <c r="I349" s="2">
        <v>46183.485266203701</v>
      </c>
    </row>
    <row r="350" spans="1:9" x14ac:dyDescent="0.25">
      <c r="A350">
        <v>129991505</v>
      </c>
      <c r="B350" s="2">
        <v>46187.670138888891</v>
      </c>
      <c r="C350" t="s">
        <v>5</v>
      </c>
      <c r="D350" t="s">
        <v>22</v>
      </c>
      <c r="E350" t="s">
        <v>71</v>
      </c>
      <c r="F350" t="s">
        <v>69</v>
      </c>
      <c r="G350">
        <v>1.53</v>
      </c>
      <c r="H350">
        <v>2.5</v>
      </c>
      <c r="I350" s="2">
        <v>46183.484837962962</v>
      </c>
    </row>
    <row r="351" spans="1:9" x14ac:dyDescent="0.25">
      <c r="A351">
        <v>129991505</v>
      </c>
      <c r="B351" s="2">
        <v>46187.670138888891</v>
      </c>
      <c r="C351" t="s">
        <v>5</v>
      </c>
      <c r="D351" t="s">
        <v>22</v>
      </c>
      <c r="E351" t="s">
        <v>64</v>
      </c>
      <c r="F351" t="s">
        <v>69</v>
      </c>
      <c r="G351">
        <v>1.6</v>
      </c>
      <c r="H351">
        <v>2.2400000000000002</v>
      </c>
      <c r="I351" s="2">
        <v>46183.485266203701</v>
      </c>
    </row>
    <row r="352" spans="1:9" x14ac:dyDescent="0.25">
      <c r="A352">
        <v>129991505</v>
      </c>
      <c r="B352" s="2">
        <v>46187.670138888891</v>
      </c>
      <c r="C352" t="s">
        <v>5</v>
      </c>
      <c r="D352" t="s">
        <v>22</v>
      </c>
      <c r="E352" t="s">
        <v>72</v>
      </c>
      <c r="F352" t="s">
        <v>69</v>
      </c>
      <c r="G352">
        <v>1.56</v>
      </c>
      <c r="H352">
        <v>2.4300000000000002</v>
      </c>
      <c r="I352" s="2">
        <v>46183.485254629632</v>
      </c>
    </row>
    <row r="353" spans="1:9" x14ac:dyDescent="0.25">
      <c r="A353">
        <v>129991505</v>
      </c>
      <c r="B353" s="2">
        <v>46187.670138888891</v>
      </c>
      <c r="C353" t="s">
        <v>5</v>
      </c>
      <c r="D353" t="s">
        <v>22</v>
      </c>
      <c r="E353" t="s">
        <v>73</v>
      </c>
      <c r="F353" t="s">
        <v>69</v>
      </c>
      <c r="G353">
        <v>1.55</v>
      </c>
      <c r="H353">
        <v>2.4300000000000002</v>
      </c>
      <c r="I353" s="2">
        <v>46183.485266203701</v>
      </c>
    </row>
    <row r="354" spans="1:9" x14ac:dyDescent="0.25">
      <c r="A354">
        <v>129991101</v>
      </c>
      <c r="B354" s="2">
        <v>46157.416666666664</v>
      </c>
      <c r="C354" t="s">
        <v>6</v>
      </c>
      <c r="D354" t="s">
        <v>8</v>
      </c>
      <c r="E354" t="s">
        <v>25</v>
      </c>
      <c r="F354" t="s">
        <v>69</v>
      </c>
      <c r="G354">
        <v>1.5</v>
      </c>
      <c r="H354">
        <v>2.6</v>
      </c>
      <c r="I354" s="2">
        <v>46154.669942129629</v>
      </c>
    </row>
    <row r="355" spans="1:9" x14ac:dyDescent="0.25">
      <c r="A355">
        <v>129991101</v>
      </c>
      <c r="B355" s="2">
        <v>46157.416666666664</v>
      </c>
      <c r="C355" t="s">
        <v>6</v>
      </c>
      <c r="D355" t="s">
        <v>8</v>
      </c>
      <c r="E355" t="s">
        <v>26</v>
      </c>
      <c r="F355" t="s">
        <v>69</v>
      </c>
      <c r="G355">
        <v>1.52</v>
      </c>
      <c r="H355">
        <v>1.04</v>
      </c>
      <c r="I355" s="2">
        <v>46154.669953703706</v>
      </c>
    </row>
    <row r="356" spans="1:9" x14ac:dyDescent="0.25">
      <c r="A356">
        <v>129991101</v>
      </c>
      <c r="B356" s="2">
        <v>46157.416666666664</v>
      </c>
      <c r="C356" t="s">
        <v>6</v>
      </c>
      <c r="D356" t="s">
        <v>8</v>
      </c>
      <c r="E356" t="s">
        <v>24</v>
      </c>
      <c r="F356" t="s">
        <v>69</v>
      </c>
      <c r="G356">
        <v>1.5</v>
      </c>
      <c r="H356">
        <v>2.6</v>
      </c>
      <c r="I356" s="2">
        <v>46154.669629629629</v>
      </c>
    </row>
    <row r="357" spans="1:9" x14ac:dyDescent="0.25">
      <c r="A357">
        <v>129991101</v>
      </c>
      <c r="B357" s="2">
        <v>46157.416666666664</v>
      </c>
      <c r="C357" t="s">
        <v>6</v>
      </c>
      <c r="D357" t="s">
        <v>8</v>
      </c>
      <c r="E357" t="s">
        <v>30</v>
      </c>
      <c r="F357" t="s">
        <v>69</v>
      </c>
      <c r="G357">
        <v>1.52</v>
      </c>
      <c r="H357">
        <v>2.5499999999999998</v>
      </c>
      <c r="I357" s="2">
        <v>46154.669618055559</v>
      </c>
    </row>
    <row r="358" spans="1:9" x14ac:dyDescent="0.25">
      <c r="A358">
        <v>129991101</v>
      </c>
      <c r="B358" s="2">
        <v>46157.416666666664</v>
      </c>
      <c r="C358" t="s">
        <v>6</v>
      </c>
      <c r="D358" t="s">
        <v>8</v>
      </c>
      <c r="E358" t="s">
        <v>29</v>
      </c>
      <c r="F358" t="s">
        <v>69</v>
      </c>
      <c r="G358">
        <v>1.52</v>
      </c>
      <c r="H358">
        <v>2.5499999999999998</v>
      </c>
      <c r="I358" s="2">
        <v>46154.669791666667</v>
      </c>
    </row>
    <row r="359" spans="1:9" x14ac:dyDescent="0.25">
      <c r="A359">
        <v>129991101</v>
      </c>
      <c r="B359" s="2">
        <v>46157.416666666664</v>
      </c>
      <c r="C359" t="s">
        <v>6</v>
      </c>
      <c r="D359" t="s">
        <v>8</v>
      </c>
      <c r="E359" t="s">
        <v>31</v>
      </c>
      <c r="F359" t="s">
        <v>69</v>
      </c>
      <c r="G359">
        <v>1.5</v>
      </c>
      <c r="H359">
        <v>2.5499999999999998</v>
      </c>
      <c r="I359" s="2">
        <v>46154.670104166667</v>
      </c>
    </row>
    <row r="360" spans="1:9" x14ac:dyDescent="0.25">
      <c r="A360">
        <v>129991101</v>
      </c>
      <c r="B360" s="2">
        <v>46157.416666666664</v>
      </c>
      <c r="C360" t="s">
        <v>6</v>
      </c>
      <c r="D360" t="s">
        <v>8</v>
      </c>
      <c r="E360" t="s">
        <v>28</v>
      </c>
      <c r="F360" t="s">
        <v>69</v>
      </c>
      <c r="G360">
        <v>1.53</v>
      </c>
      <c r="H360">
        <v>2.4500000000000002</v>
      </c>
      <c r="I360" s="2">
        <v>46154.669942129629</v>
      </c>
    </row>
    <row r="361" spans="1:9" x14ac:dyDescent="0.25">
      <c r="A361">
        <v>129991101</v>
      </c>
      <c r="B361" s="2">
        <v>46157.416666666664</v>
      </c>
      <c r="C361" t="s">
        <v>6</v>
      </c>
      <c r="D361" t="s">
        <v>8</v>
      </c>
      <c r="E361" t="s">
        <v>23</v>
      </c>
      <c r="F361" t="s">
        <v>69</v>
      </c>
      <c r="G361">
        <v>1.48</v>
      </c>
      <c r="H361">
        <v>2.67</v>
      </c>
      <c r="I361" s="2">
        <v>46154.669942129629</v>
      </c>
    </row>
    <row r="362" spans="1:9" x14ac:dyDescent="0.25">
      <c r="A362">
        <v>129991101</v>
      </c>
      <c r="B362" s="2">
        <v>46157.416666666664</v>
      </c>
      <c r="C362" t="s">
        <v>6</v>
      </c>
      <c r="D362" t="s">
        <v>8</v>
      </c>
      <c r="E362" t="s">
        <v>27</v>
      </c>
      <c r="F362" t="s">
        <v>69</v>
      </c>
      <c r="G362">
        <v>1.5</v>
      </c>
      <c r="H362">
        <v>2.6</v>
      </c>
      <c r="I362" s="2">
        <v>46154.669803240744</v>
      </c>
    </row>
    <row r="363" spans="1:9" x14ac:dyDescent="0.25">
      <c r="A363">
        <v>129991101</v>
      </c>
      <c r="B363" s="2">
        <v>46157.416666666664</v>
      </c>
      <c r="C363" t="s">
        <v>6</v>
      </c>
      <c r="D363" t="s">
        <v>8</v>
      </c>
      <c r="E363" t="s">
        <v>32</v>
      </c>
      <c r="F363" t="s">
        <v>69</v>
      </c>
      <c r="G363">
        <v>1.5</v>
      </c>
      <c r="H363">
        <v>2.6</v>
      </c>
      <c r="I363" s="2">
        <v>46154.670092592591</v>
      </c>
    </row>
    <row r="364" spans="1:9" x14ac:dyDescent="0.25">
      <c r="A364">
        <v>129991101</v>
      </c>
      <c r="B364" s="2">
        <v>46157.416666666664</v>
      </c>
      <c r="C364" t="s">
        <v>6</v>
      </c>
      <c r="D364" t="s">
        <v>8</v>
      </c>
      <c r="E364" t="s">
        <v>33</v>
      </c>
      <c r="F364" t="s">
        <v>69</v>
      </c>
      <c r="G364">
        <v>1.5</v>
      </c>
      <c r="H364">
        <v>2.5499999999999998</v>
      </c>
      <c r="I364" s="2">
        <v>46154.669629629629</v>
      </c>
    </row>
    <row r="365" spans="1:9" x14ac:dyDescent="0.25">
      <c r="A365">
        <v>129991102</v>
      </c>
      <c r="B365" s="2">
        <v>46157.416666666664</v>
      </c>
      <c r="C365" t="s">
        <v>14</v>
      </c>
      <c r="D365" t="s">
        <v>12</v>
      </c>
      <c r="E365" t="s">
        <v>25</v>
      </c>
      <c r="F365" t="s">
        <v>69</v>
      </c>
      <c r="G365">
        <v>2</v>
      </c>
      <c r="H365">
        <v>1.82</v>
      </c>
      <c r="I365" s="2">
        <v>46154.669942129629</v>
      </c>
    </row>
    <row r="366" spans="1:9" x14ac:dyDescent="0.25">
      <c r="A366">
        <v>129991102</v>
      </c>
      <c r="B366" s="2">
        <v>46157.416666666664</v>
      </c>
      <c r="C366" t="s">
        <v>14</v>
      </c>
      <c r="D366" t="s">
        <v>12</v>
      </c>
      <c r="E366" t="s">
        <v>26</v>
      </c>
      <c r="F366" t="s">
        <v>69</v>
      </c>
      <c r="G366">
        <v>1.91</v>
      </c>
      <c r="H366">
        <v>1.76</v>
      </c>
      <c r="I366" s="2">
        <v>46154.669953703706</v>
      </c>
    </row>
    <row r="367" spans="1:9" x14ac:dyDescent="0.25">
      <c r="A367">
        <v>129991102</v>
      </c>
      <c r="B367" s="2">
        <v>46157.416666666664</v>
      </c>
      <c r="C367" t="s">
        <v>14</v>
      </c>
      <c r="D367" t="s">
        <v>12</v>
      </c>
      <c r="E367" t="s">
        <v>24</v>
      </c>
      <c r="F367" t="s">
        <v>69</v>
      </c>
      <c r="G367">
        <v>2</v>
      </c>
      <c r="H367">
        <v>1.8</v>
      </c>
      <c r="I367" s="2">
        <v>46154.669629629629</v>
      </c>
    </row>
    <row r="368" spans="1:9" x14ac:dyDescent="0.25">
      <c r="A368">
        <v>129991102</v>
      </c>
      <c r="B368" s="2">
        <v>46157.416666666664</v>
      </c>
      <c r="C368" t="s">
        <v>14</v>
      </c>
      <c r="D368" t="s">
        <v>12</v>
      </c>
      <c r="E368" t="s">
        <v>30</v>
      </c>
      <c r="F368" t="s">
        <v>69</v>
      </c>
      <c r="G368">
        <v>2</v>
      </c>
      <c r="H368">
        <v>1.82</v>
      </c>
      <c r="I368" s="2">
        <v>46154.669618055559</v>
      </c>
    </row>
    <row r="369" spans="1:9" x14ac:dyDescent="0.25">
      <c r="A369">
        <v>129991102</v>
      </c>
      <c r="B369" s="2">
        <v>46157.416666666664</v>
      </c>
      <c r="C369" t="s">
        <v>14</v>
      </c>
      <c r="D369" t="s">
        <v>12</v>
      </c>
      <c r="E369" t="s">
        <v>29</v>
      </c>
      <c r="F369" t="s">
        <v>69</v>
      </c>
      <c r="G369">
        <v>2</v>
      </c>
      <c r="H369">
        <v>1.82</v>
      </c>
      <c r="I369" s="2">
        <v>46154.669791666667</v>
      </c>
    </row>
    <row r="370" spans="1:9" x14ac:dyDescent="0.25">
      <c r="A370">
        <v>129991102</v>
      </c>
      <c r="B370" s="2">
        <v>46157.416666666664</v>
      </c>
      <c r="C370" t="s">
        <v>14</v>
      </c>
      <c r="D370" t="s">
        <v>12</v>
      </c>
      <c r="E370" t="s">
        <v>31</v>
      </c>
      <c r="F370" t="s">
        <v>69</v>
      </c>
      <c r="G370">
        <v>2.02</v>
      </c>
      <c r="H370">
        <v>1.77</v>
      </c>
      <c r="I370" s="2">
        <v>46154.670104166667</v>
      </c>
    </row>
    <row r="371" spans="1:9" x14ac:dyDescent="0.25">
      <c r="A371">
        <v>129991102</v>
      </c>
      <c r="B371" s="2">
        <v>46157.416666666664</v>
      </c>
      <c r="C371" t="s">
        <v>14</v>
      </c>
      <c r="D371" t="s">
        <v>12</v>
      </c>
      <c r="E371" t="s">
        <v>28</v>
      </c>
      <c r="F371" t="s">
        <v>69</v>
      </c>
      <c r="G371">
        <v>1.85</v>
      </c>
      <c r="H371">
        <v>1.95</v>
      </c>
      <c r="I371" s="2">
        <v>46154.669942129629</v>
      </c>
    </row>
    <row r="372" spans="1:9" x14ac:dyDescent="0.25">
      <c r="A372">
        <v>129991102</v>
      </c>
      <c r="B372" s="2">
        <v>46157.416666666664</v>
      </c>
      <c r="C372" t="s">
        <v>14</v>
      </c>
      <c r="D372" t="s">
        <v>12</v>
      </c>
      <c r="E372" t="s">
        <v>23</v>
      </c>
      <c r="F372" t="s">
        <v>69</v>
      </c>
      <c r="G372">
        <v>2</v>
      </c>
      <c r="H372">
        <v>1.84</v>
      </c>
      <c r="I372" s="2">
        <v>46154.669942129629</v>
      </c>
    </row>
    <row r="373" spans="1:9" x14ac:dyDescent="0.25">
      <c r="A373">
        <v>129991102</v>
      </c>
      <c r="B373" s="2">
        <v>46157.416666666664</v>
      </c>
      <c r="C373" t="s">
        <v>14</v>
      </c>
      <c r="D373" t="s">
        <v>12</v>
      </c>
      <c r="E373" t="s">
        <v>27</v>
      </c>
      <c r="F373" t="s">
        <v>69</v>
      </c>
      <c r="G373">
        <v>2.0499999999999998</v>
      </c>
      <c r="H373">
        <v>1.77</v>
      </c>
      <c r="I373" s="2">
        <v>46154.669803240744</v>
      </c>
    </row>
    <row r="374" spans="1:9" x14ac:dyDescent="0.25">
      <c r="A374">
        <v>129991102</v>
      </c>
      <c r="B374" s="2">
        <v>46157.416666666664</v>
      </c>
      <c r="C374" t="s">
        <v>14</v>
      </c>
      <c r="D374" t="s">
        <v>12</v>
      </c>
      <c r="E374" t="s">
        <v>32</v>
      </c>
      <c r="F374" t="s">
        <v>69</v>
      </c>
      <c r="G374">
        <v>2.0499999999999998</v>
      </c>
      <c r="H374">
        <v>1.77</v>
      </c>
      <c r="I374" s="2">
        <v>46154.670092592591</v>
      </c>
    </row>
    <row r="375" spans="1:9" x14ac:dyDescent="0.25">
      <c r="A375">
        <v>129991102</v>
      </c>
      <c r="B375" s="2">
        <v>46157.416666666664</v>
      </c>
      <c r="C375" t="s">
        <v>14</v>
      </c>
      <c r="D375" t="s">
        <v>12</v>
      </c>
      <c r="E375" t="s">
        <v>33</v>
      </c>
      <c r="F375" t="s">
        <v>69</v>
      </c>
      <c r="G375">
        <v>2.04</v>
      </c>
      <c r="H375">
        <v>1.76</v>
      </c>
      <c r="I375" s="2">
        <v>46154.669629629629</v>
      </c>
    </row>
    <row r="376" spans="1:9" x14ac:dyDescent="0.25">
      <c r="A376">
        <v>129991103</v>
      </c>
      <c r="B376" s="2">
        <v>46158.416666666664</v>
      </c>
      <c r="C376" t="s">
        <v>5</v>
      </c>
      <c r="D376" t="s">
        <v>19</v>
      </c>
      <c r="E376" t="s">
        <v>25</v>
      </c>
      <c r="F376" t="s">
        <v>69</v>
      </c>
      <c r="G376">
        <v>3.55</v>
      </c>
      <c r="H376">
        <v>1.3</v>
      </c>
      <c r="I376" s="2">
        <v>46154.669942129629</v>
      </c>
    </row>
    <row r="377" spans="1:9" x14ac:dyDescent="0.25">
      <c r="A377">
        <v>129991103</v>
      </c>
      <c r="B377" s="2">
        <v>46158.416666666664</v>
      </c>
      <c r="C377" t="s">
        <v>5</v>
      </c>
      <c r="D377" t="s">
        <v>19</v>
      </c>
      <c r="E377" t="s">
        <v>26</v>
      </c>
      <c r="F377" t="s">
        <v>69</v>
      </c>
      <c r="G377">
        <v>3.5</v>
      </c>
      <c r="H377">
        <v>1.1000000000000001</v>
      </c>
      <c r="I377" s="2">
        <v>46154.669953703706</v>
      </c>
    </row>
    <row r="378" spans="1:9" x14ac:dyDescent="0.25">
      <c r="A378">
        <v>129991103</v>
      </c>
      <c r="B378" s="2">
        <v>46158.416666666664</v>
      </c>
      <c r="C378" t="s">
        <v>5</v>
      </c>
      <c r="D378" t="s">
        <v>19</v>
      </c>
      <c r="E378" t="s">
        <v>24</v>
      </c>
      <c r="F378" t="s">
        <v>69</v>
      </c>
      <c r="G378">
        <v>3.6</v>
      </c>
      <c r="H378">
        <v>1.29</v>
      </c>
      <c r="I378" s="2">
        <v>46154.669629629629</v>
      </c>
    </row>
    <row r="379" spans="1:9" x14ac:dyDescent="0.25">
      <c r="A379">
        <v>129991103</v>
      </c>
      <c r="B379" s="2">
        <v>46158.416666666664</v>
      </c>
      <c r="C379" t="s">
        <v>5</v>
      </c>
      <c r="D379" t="s">
        <v>19</v>
      </c>
      <c r="E379" t="s">
        <v>30</v>
      </c>
      <c r="F379" t="s">
        <v>69</v>
      </c>
      <c r="G379">
        <v>3.5</v>
      </c>
      <c r="H379">
        <v>1.3</v>
      </c>
      <c r="I379" s="2">
        <v>46154.669618055559</v>
      </c>
    </row>
    <row r="380" spans="1:9" x14ac:dyDescent="0.25">
      <c r="A380">
        <v>129991103</v>
      </c>
      <c r="B380" s="2">
        <v>46158.416666666664</v>
      </c>
      <c r="C380" t="s">
        <v>5</v>
      </c>
      <c r="D380" t="s">
        <v>19</v>
      </c>
      <c r="E380" t="s">
        <v>29</v>
      </c>
      <c r="F380" t="s">
        <v>69</v>
      </c>
      <c r="G380">
        <v>3.5</v>
      </c>
      <c r="H380">
        <v>1.3</v>
      </c>
      <c r="I380" s="2">
        <v>46154.669791666667</v>
      </c>
    </row>
    <row r="381" spans="1:9" x14ac:dyDescent="0.25">
      <c r="A381">
        <v>129991103</v>
      </c>
      <c r="B381" s="2">
        <v>46158.416666666664</v>
      </c>
      <c r="C381" t="s">
        <v>5</v>
      </c>
      <c r="D381" t="s">
        <v>19</v>
      </c>
      <c r="E381" t="s">
        <v>31</v>
      </c>
      <c r="F381" t="s">
        <v>69</v>
      </c>
      <c r="G381">
        <v>3.6</v>
      </c>
      <c r="H381">
        <v>1.28</v>
      </c>
      <c r="I381" s="2">
        <v>46154.670104166667</v>
      </c>
    </row>
    <row r="382" spans="1:9" x14ac:dyDescent="0.25">
      <c r="A382">
        <v>129991103</v>
      </c>
      <c r="B382" s="2">
        <v>46158.416666666664</v>
      </c>
      <c r="C382" t="s">
        <v>5</v>
      </c>
      <c r="D382" t="s">
        <v>19</v>
      </c>
      <c r="E382" t="s">
        <v>28</v>
      </c>
      <c r="F382" t="s">
        <v>69</v>
      </c>
      <c r="G382">
        <v>3.6</v>
      </c>
      <c r="H382">
        <v>1.28</v>
      </c>
      <c r="I382" s="2">
        <v>46154.669942129629</v>
      </c>
    </row>
    <row r="383" spans="1:9" x14ac:dyDescent="0.25">
      <c r="A383">
        <v>129991103</v>
      </c>
      <c r="B383" s="2">
        <v>46158.416666666664</v>
      </c>
      <c r="C383" t="s">
        <v>5</v>
      </c>
      <c r="D383" t="s">
        <v>19</v>
      </c>
      <c r="E383" t="s">
        <v>23</v>
      </c>
      <c r="F383" t="s">
        <v>69</v>
      </c>
      <c r="G383">
        <v>3.28</v>
      </c>
      <c r="H383">
        <v>1.34</v>
      </c>
      <c r="I383" s="2">
        <v>46154.669942129629</v>
      </c>
    </row>
    <row r="384" spans="1:9" x14ac:dyDescent="0.25">
      <c r="A384">
        <v>129991103</v>
      </c>
      <c r="B384" s="2">
        <v>46158.416666666664</v>
      </c>
      <c r="C384" t="s">
        <v>5</v>
      </c>
      <c r="D384" t="s">
        <v>19</v>
      </c>
      <c r="E384" t="s">
        <v>27</v>
      </c>
      <c r="F384" t="s">
        <v>69</v>
      </c>
      <c r="G384">
        <v>3.7</v>
      </c>
      <c r="H384">
        <v>1.28</v>
      </c>
      <c r="I384" s="2">
        <v>46154.669803240744</v>
      </c>
    </row>
    <row r="385" spans="1:9" x14ac:dyDescent="0.25">
      <c r="A385">
        <v>129991103</v>
      </c>
      <c r="B385" s="2">
        <v>46158.416666666664</v>
      </c>
      <c r="C385" t="s">
        <v>5</v>
      </c>
      <c r="D385" t="s">
        <v>19</v>
      </c>
      <c r="E385" t="s">
        <v>32</v>
      </c>
      <c r="F385" t="s">
        <v>69</v>
      </c>
      <c r="G385">
        <v>3.55</v>
      </c>
      <c r="H385">
        <v>1.3</v>
      </c>
      <c r="I385" s="2">
        <v>46154.670092592591</v>
      </c>
    </row>
    <row r="386" spans="1:9" x14ac:dyDescent="0.25">
      <c r="A386">
        <v>129991103</v>
      </c>
      <c r="B386" s="2">
        <v>46158.416666666664</v>
      </c>
      <c r="C386" t="s">
        <v>5</v>
      </c>
      <c r="D386" t="s">
        <v>19</v>
      </c>
      <c r="E386" t="s">
        <v>33</v>
      </c>
      <c r="F386" t="s">
        <v>69</v>
      </c>
      <c r="G386">
        <v>3.55</v>
      </c>
      <c r="H386">
        <v>1.29</v>
      </c>
      <c r="I386" s="2">
        <v>46154.669629629629</v>
      </c>
    </row>
    <row r="387" spans="1:9" x14ac:dyDescent="0.25">
      <c r="A387">
        <v>129991104</v>
      </c>
      <c r="B387" s="2">
        <v>46158.416666666664</v>
      </c>
      <c r="C387" t="s">
        <v>10</v>
      </c>
      <c r="D387" t="s">
        <v>7</v>
      </c>
      <c r="E387" t="s">
        <v>25</v>
      </c>
      <c r="F387" t="s">
        <v>69</v>
      </c>
      <c r="G387">
        <v>1.19</v>
      </c>
      <c r="H387">
        <v>4.75</v>
      </c>
      <c r="I387" s="2">
        <v>46154.669942129629</v>
      </c>
    </row>
    <row r="388" spans="1:9" x14ac:dyDescent="0.25">
      <c r="A388">
        <v>129991104</v>
      </c>
      <c r="B388" s="2">
        <v>46158.416666666664</v>
      </c>
      <c r="C388" t="s">
        <v>10</v>
      </c>
      <c r="D388" t="s">
        <v>7</v>
      </c>
      <c r="E388" t="s">
        <v>26</v>
      </c>
      <c r="F388" t="s">
        <v>69</v>
      </c>
      <c r="G388">
        <v>1.05</v>
      </c>
      <c r="H388">
        <v>4.5999999999999996</v>
      </c>
      <c r="I388" s="2">
        <v>46154.669953703706</v>
      </c>
    </row>
    <row r="389" spans="1:9" x14ac:dyDescent="0.25">
      <c r="A389">
        <v>129991104</v>
      </c>
      <c r="B389" s="2">
        <v>46158.416666666664</v>
      </c>
      <c r="C389" t="s">
        <v>10</v>
      </c>
      <c r="D389" t="s">
        <v>7</v>
      </c>
      <c r="E389" t="s">
        <v>24</v>
      </c>
      <c r="F389" t="s">
        <v>69</v>
      </c>
      <c r="G389">
        <v>1.22</v>
      </c>
      <c r="H389">
        <v>4.3</v>
      </c>
      <c r="I389" s="2">
        <v>46154.669629629629</v>
      </c>
    </row>
    <row r="390" spans="1:9" x14ac:dyDescent="0.25">
      <c r="A390">
        <v>129991104</v>
      </c>
      <c r="B390" s="2">
        <v>46158.416666666664</v>
      </c>
      <c r="C390" t="s">
        <v>10</v>
      </c>
      <c r="D390" t="s">
        <v>7</v>
      </c>
      <c r="E390" t="s">
        <v>30</v>
      </c>
      <c r="F390" t="s">
        <v>69</v>
      </c>
      <c r="G390">
        <v>1.22</v>
      </c>
      <c r="H390">
        <v>4.25</v>
      </c>
      <c r="I390" s="2">
        <v>46154.669618055559</v>
      </c>
    </row>
    <row r="391" spans="1:9" x14ac:dyDescent="0.25">
      <c r="A391">
        <v>129991104</v>
      </c>
      <c r="B391" s="2">
        <v>46158.416666666664</v>
      </c>
      <c r="C391" t="s">
        <v>10</v>
      </c>
      <c r="D391" t="s">
        <v>7</v>
      </c>
      <c r="E391" t="s">
        <v>29</v>
      </c>
      <c r="F391" t="s">
        <v>69</v>
      </c>
      <c r="G391">
        <v>1.22</v>
      </c>
      <c r="H391">
        <v>4.25</v>
      </c>
      <c r="I391" s="2">
        <v>46154.669791666667</v>
      </c>
    </row>
    <row r="392" spans="1:9" x14ac:dyDescent="0.25">
      <c r="A392">
        <v>129991104</v>
      </c>
      <c r="B392" s="2">
        <v>46158.416666666664</v>
      </c>
      <c r="C392" t="s">
        <v>10</v>
      </c>
      <c r="D392" t="s">
        <v>7</v>
      </c>
      <c r="E392" t="s">
        <v>31</v>
      </c>
      <c r="F392" t="s">
        <v>69</v>
      </c>
      <c r="G392">
        <v>1.22</v>
      </c>
      <c r="H392">
        <v>4.0999999999999996</v>
      </c>
      <c r="I392" s="2">
        <v>46154.670104166667</v>
      </c>
    </row>
    <row r="393" spans="1:9" x14ac:dyDescent="0.25">
      <c r="A393">
        <v>129991104</v>
      </c>
      <c r="B393" s="2">
        <v>46158.416666666664</v>
      </c>
      <c r="C393" t="s">
        <v>10</v>
      </c>
      <c r="D393" t="s">
        <v>7</v>
      </c>
      <c r="E393" t="s">
        <v>28</v>
      </c>
      <c r="F393" t="s">
        <v>69</v>
      </c>
      <c r="G393">
        <v>1.24</v>
      </c>
      <c r="H393">
        <v>4</v>
      </c>
      <c r="I393" s="2">
        <v>46154.669942129629</v>
      </c>
    </row>
    <row r="394" spans="1:9" x14ac:dyDescent="0.25">
      <c r="A394">
        <v>129991104</v>
      </c>
      <c r="B394" s="2">
        <v>46158.416666666664</v>
      </c>
      <c r="C394" t="s">
        <v>10</v>
      </c>
      <c r="D394" t="s">
        <v>7</v>
      </c>
      <c r="E394" t="s">
        <v>23</v>
      </c>
      <c r="F394" t="s">
        <v>69</v>
      </c>
      <c r="G394">
        <v>1.24</v>
      </c>
      <c r="H394">
        <v>4.2</v>
      </c>
      <c r="I394" s="2">
        <v>46154.669942129629</v>
      </c>
    </row>
    <row r="395" spans="1:9" x14ac:dyDescent="0.25">
      <c r="A395">
        <v>129991104</v>
      </c>
      <c r="B395" s="2">
        <v>46158.416666666664</v>
      </c>
      <c r="C395" t="s">
        <v>10</v>
      </c>
      <c r="D395" t="s">
        <v>7</v>
      </c>
      <c r="E395" t="s">
        <v>27</v>
      </c>
      <c r="F395" t="s">
        <v>69</v>
      </c>
      <c r="G395">
        <v>1.23</v>
      </c>
      <c r="H395">
        <v>4.2</v>
      </c>
      <c r="I395" s="2">
        <v>46154.669803240744</v>
      </c>
    </row>
    <row r="396" spans="1:9" x14ac:dyDescent="0.25">
      <c r="A396">
        <v>129991104</v>
      </c>
      <c r="B396" s="2">
        <v>46158.416666666664</v>
      </c>
      <c r="C396" t="s">
        <v>10</v>
      </c>
      <c r="D396" t="s">
        <v>7</v>
      </c>
      <c r="E396" t="s">
        <v>32</v>
      </c>
      <c r="F396" t="s">
        <v>69</v>
      </c>
      <c r="G396">
        <v>1.22</v>
      </c>
      <c r="H396">
        <v>4.3499999999999996</v>
      </c>
      <c r="I396" s="2">
        <v>46154.670092592591</v>
      </c>
    </row>
    <row r="397" spans="1:9" x14ac:dyDescent="0.25">
      <c r="A397">
        <v>129991104</v>
      </c>
      <c r="B397" s="2">
        <v>46158.416666666664</v>
      </c>
      <c r="C397" t="s">
        <v>10</v>
      </c>
      <c r="D397" t="s">
        <v>7</v>
      </c>
      <c r="E397" t="s">
        <v>33</v>
      </c>
      <c r="F397" t="s">
        <v>69</v>
      </c>
      <c r="G397">
        <v>1.21</v>
      </c>
      <c r="H397">
        <v>4.3</v>
      </c>
      <c r="I397" s="2">
        <v>46154.669629629629</v>
      </c>
    </row>
    <row r="398" spans="1:9" x14ac:dyDescent="0.25">
      <c r="A398">
        <v>129991105</v>
      </c>
      <c r="B398" s="2">
        <v>46158.416666666664</v>
      </c>
      <c r="C398" t="s">
        <v>18</v>
      </c>
      <c r="D398" t="s">
        <v>15</v>
      </c>
      <c r="E398" t="s">
        <v>25</v>
      </c>
      <c r="F398" t="s">
        <v>69</v>
      </c>
      <c r="G398">
        <v>2.75</v>
      </c>
      <c r="H398">
        <v>1.45</v>
      </c>
      <c r="I398" s="2">
        <v>46154.669942129629</v>
      </c>
    </row>
    <row r="399" spans="1:9" x14ac:dyDescent="0.25">
      <c r="A399">
        <v>129991105</v>
      </c>
      <c r="B399" s="2">
        <v>46158.416666666664</v>
      </c>
      <c r="C399" t="s">
        <v>18</v>
      </c>
      <c r="D399" t="s">
        <v>15</v>
      </c>
      <c r="E399" t="s">
        <v>26</v>
      </c>
      <c r="F399" t="s">
        <v>69</v>
      </c>
      <c r="G399">
        <v>2.84</v>
      </c>
      <c r="H399">
        <v>1.34</v>
      </c>
      <c r="I399" s="2">
        <v>46154.669953703706</v>
      </c>
    </row>
    <row r="400" spans="1:9" x14ac:dyDescent="0.25">
      <c r="A400">
        <v>129991105</v>
      </c>
      <c r="B400" s="2">
        <v>46158.416666666664</v>
      </c>
      <c r="C400" t="s">
        <v>18</v>
      </c>
      <c r="D400" t="s">
        <v>15</v>
      </c>
      <c r="E400" t="s">
        <v>24</v>
      </c>
      <c r="F400" t="s">
        <v>69</v>
      </c>
      <c r="G400">
        <v>2.8</v>
      </c>
      <c r="H400">
        <v>1.44</v>
      </c>
      <c r="I400" s="2">
        <v>46154.669629629629</v>
      </c>
    </row>
    <row r="401" spans="1:9" x14ac:dyDescent="0.25">
      <c r="A401">
        <v>129991105</v>
      </c>
      <c r="B401" s="2">
        <v>46158.416666666664</v>
      </c>
      <c r="C401" t="s">
        <v>18</v>
      </c>
      <c r="D401" t="s">
        <v>15</v>
      </c>
      <c r="E401" t="s">
        <v>30</v>
      </c>
      <c r="F401" t="s">
        <v>69</v>
      </c>
      <c r="G401">
        <v>2.8</v>
      </c>
      <c r="H401">
        <v>1.44</v>
      </c>
      <c r="I401" s="2">
        <v>46154.669618055559</v>
      </c>
    </row>
    <row r="402" spans="1:9" x14ac:dyDescent="0.25">
      <c r="A402">
        <v>129991105</v>
      </c>
      <c r="B402" s="2">
        <v>46158.416666666664</v>
      </c>
      <c r="C402" t="s">
        <v>18</v>
      </c>
      <c r="D402" t="s">
        <v>15</v>
      </c>
      <c r="E402" t="s">
        <v>29</v>
      </c>
      <c r="F402" t="s">
        <v>69</v>
      </c>
      <c r="G402">
        <v>2.8</v>
      </c>
      <c r="H402">
        <v>1.44</v>
      </c>
      <c r="I402" s="2">
        <v>46154.669791666667</v>
      </c>
    </row>
    <row r="403" spans="1:9" x14ac:dyDescent="0.25">
      <c r="A403">
        <v>129991105</v>
      </c>
      <c r="B403" s="2">
        <v>46158.416666666664</v>
      </c>
      <c r="C403" t="s">
        <v>18</v>
      </c>
      <c r="D403" t="s">
        <v>15</v>
      </c>
      <c r="E403" t="s">
        <v>31</v>
      </c>
      <c r="F403" t="s">
        <v>69</v>
      </c>
      <c r="G403">
        <v>2.8</v>
      </c>
      <c r="H403">
        <v>1.42</v>
      </c>
      <c r="I403" s="2">
        <v>46154.670104166667</v>
      </c>
    </row>
    <row r="404" spans="1:9" x14ac:dyDescent="0.25">
      <c r="A404">
        <v>129991105</v>
      </c>
      <c r="B404" s="2">
        <v>46158.416666666664</v>
      </c>
      <c r="C404" t="s">
        <v>18</v>
      </c>
      <c r="D404" t="s">
        <v>15</v>
      </c>
      <c r="E404" t="s">
        <v>28</v>
      </c>
      <c r="F404" t="s">
        <v>69</v>
      </c>
      <c r="G404">
        <v>2.7</v>
      </c>
      <c r="H404">
        <v>1.45</v>
      </c>
      <c r="I404" s="2">
        <v>46154.669942129629</v>
      </c>
    </row>
    <row r="405" spans="1:9" x14ac:dyDescent="0.25">
      <c r="A405">
        <v>129991105</v>
      </c>
      <c r="B405" s="2">
        <v>46158.416666666664</v>
      </c>
      <c r="C405" t="s">
        <v>18</v>
      </c>
      <c r="D405" t="s">
        <v>15</v>
      </c>
      <c r="E405" t="s">
        <v>23</v>
      </c>
      <c r="F405" t="s">
        <v>69</v>
      </c>
      <c r="G405">
        <v>3.14</v>
      </c>
      <c r="H405">
        <v>1.37</v>
      </c>
      <c r="I405" s="2">
        <v>46154.669942129629</v>
      </c>
    </row>
    <row r="406" spans="1:9" x14ac:dyDescent="0.25">
      <c r="A406">
        <v>129991105</v>
      </c>
      <c r="B406" s="2">
        <v>46158.416666666664</v>
      </c>
      <c r="C406" t="s">
        <v>18</v>
      </c>
      <c r="D406" t="s">
        <v>15</v>
      </c>
      <c r="E406" t="s">
        <v>27</v>
      </c>
      <c r="F406" t="s">
        <v>69</v>
      </c>
      <c r="G406">
        <v>2.75</v>
      </c>
      <c r="H406">
        <v>1.45</v>
      </c>
      <c r="I406" s="2">
        <v>46154.669803240744</v>
      </c>
    </row>
    <row r="407" spans="1:9" x14ac:dyDescent="0.25">
      <c r="A407">
        <v>129991105</v>
      </c>
      <c r="B407" s="2">
        <v>46158.416666666664</v>
      </c>
      <c r="C407" t="s">
        <v>18</v>
      </c>
      <c r="D407" t="s">
        <v>15</v>
      </c>
      <c r="E407" t="s">
        <v>32</v>
      </c>
      <c r="F407" t="s">
        <v>69</v>
      </c>
      <c r="G407">
        <v>2.75</v>
      </c>
      <c r="H407">
        <v>1.45</v>
      </c>
      <c r="I407" s="2">
        <v>46154.670092592591</v>
      </c>
    </row>
    <row r="408" spans="1:9" x14ac:dyDescent="0.25">
      <c r="A408">
        <v>129991105</v>
      </c>
      <c r="B408" s="2">
        <v>46158.416666666664</v>
      </c>
      <c r="C408" t="s">
        <v>18</v>
      </c>
      <c r="D408" t="s">
        <v>15</v>
      </c>
      <c r="E408" t="s">
        <v>33</v>
      </c>
      <c r="F408" t="s">
        <v>69</v>
      </c>
      <c r="G408">
        <v>2.7</v>
      </c>
      <c r="H408">
        <v>1.45</v>
      </c>
      <c r="I408" s="2">
        <v>46154.669629629629</v>
      </c>
    </row>
    <row r="409" spans="1:9" x14ac:dyDescent="0.25">
      <c r="A409">
        <v>129991106</v>
      </c>
      <c r="B409" s="2">
        <v>46159.416666666664</v>
      </c>
      <c r="C409" t="s">
        <v>22</v>
      </c>
      <c r="D409" t="s">
        <v>17</v>
      </c>
      <c r="E409" t="s">
        <v>25</v>
      </c>
      <c r="F409" t="s">
        <v>69</v>
      </c>
      <c r="G409">
        <v>3.35</v>
      </c>
      <c r="H409">
        <v>1.33</v>
      </c>
      <c r="I409" s="2">
        <v>46154.669942129629</v>
      </c>
    </row>
    <row r="410" spans="1:9" x14ac:dyDescent="0.25">
      <c r="A410">
        <v>129991106</v>
      </c>
      <c r="B410" s="2">
        <v>46159.416666666664</v>
      </c>
      <c r="C410" t="s">
        <v>22</v>
      </c>
      <c r="D410" t="s">
        <v>17</v>
      </c>
      <c r="E410" t="s">
        <v>26</v>
      </c>
      <c r="F410" t="s">
        <v>69</v>
      </c>
      <c r="G410">
        <v>3.65</v>
      </c>
      <c r="H410">
        <v>1.04</v>
      </c>
      <c r="I410" s="2">
        <v>46154.669953703706</v>
      </c>
    </row>
    <row r="411" spans="1:9" x14ac:dyDescent="0.25">
      <c r="A411">
        <v>129991106</v>
      </c>
      <c r="B411" s="2">
        <v>46159.416666666664</v>
      </c>
      <c r="C411" t="s">
        <v>22</v>
      </c>
      <c r="D411" t="s">
        <v>17</v>
      </c>
      <c r="E411" t="s">
        <v>24</v>
      </c>
      <c r="F411" t="s">
        <v>69</v>
      </c>
      <c r="G411">
        <v>3.4</v>
      </c>
      <c r="H411">
        <v>1.32</v>
      </c>
      <c r="I411" s="2">
        <v>46154.669629629629</v>
      </c>
    </row>
    <row r="412" spans="1:9" x14ac:dyDescent="0.25">
      <c r="A412">
        <v>129991106</v>
      </c>
      <c r="B412" s="2">
        <v>46159.416666666664</v>
      </c>
      <c r="C412" t="s">
        <v>22</v>
      </c>
      <c r="D412" t="s">
        <v>17</v>
      </c>
      <c r="E412" t="s">
        <v>30</v>
      </c>
      <c r="F412" t="s">
        <v>69</v>
      </c>
      <c r="G412">
        <v>3.35</v>
      </c>
      <c r="H412">
        <v>1.33</v>
      </c>
      <c r="I412" s="2">
        <v>46154.669618055559</v>
      </c>
    </row>
    <row r="413" spans="1:9" x14ac:dyDescent="0.25">
      <c r="A413">
        <v>129991106</v>
      </c>
      <c r="B413" s="2">
        <v>46159.416666666664</v>
      </c>
      <c r="C413" t="s">
        <v>22</v>
      </c>
      <c r="D413" t="s">
        <v>17</v>
      </c>
      <c r="E413" t="s">
        <v>29</v>
      </c>
      <c r="F413" t="s">
        <v>69</v>
      </c>
      <c r="G413">
        <v>3.35</v>
      </c>
      <c r="H413">
        <v>1.33</v>
      </c>
      <c r="I413" s="2">
        <v>46154.669791666667</v>
      </c>
    </row>
    <row r="414" spans="1:9" x14ac:dyDescent="0.25">
      <c r="A414">
        <v>129991106</v>
      </c>
      <c r="B414" s="2">
        <v>46159.416666666664</v>
      </c>
      <c r="C414" t="s">
        <v>22</v>
      </c>
      <c r="D414" t="s">
        <v>17</v>
      </c>
      <c r="E414" t="s">
        <v>31</v>
      </c>
      <c r="F414" t="s">
        <v>69</v>
      </c>
      <c r="G414">
        <v>3.4</v>
      </c>
      <c r="H414">
        <v>1.3</v>
      </c>
      <c r="I414" s="2">
        <v>46154.670104166667</v>
      </c>
    </row>
    <row r="415" spans="1:9" x14ac:dyDescent="0.25">
      <c r="A415">
        <v>129991106</v>
      </c>
      <c r="B415" s="2">
        <v>46159.416666666664</v>
      </c>
      <c r="C415" t="s">
        <v>22</v>
      </c>
      <c r="D415" t="s">
        <v>17</v>
      </c>
      <c r="E415" t="s">
        <v>28</v>
      </c>
      <c r="F415" t="s">
        <v>69</v>
      </c>
      <c r="G415">
        <v>3.45</v>
      </c>
      <c r="H415">
        <v>1.3</v>
      </c>
      <c r="I415" s="2">
        <v>46154.669942129629</v>
      </c>
    </row>
    <row r="416" spans="1:9" x14ac:dyDescent="0.25">
      <c r="A416">
        <v>129991106</v>
      </c>
      <c r="B416" s="2">
        <v>46159.416666666664</v>
      </c>
      <c r="C416" t="s">
        <v>22</v>
      </c>
      <c r="D416" t="s">
        <v>17</v>
      </c>
      <c r="E416" t="s">
        <v>23</v>
      </c>
      <c r="F416" t="s">
        <v>69</v>
      </c>
      <c r="G416">
        <v>3.5</v>
      </c>
      <c r="H416">
        <v>1.31</v>
      </c>
      <c r="I416" s="2">
        <v>46154.669942129629</v>
      </c>
    </row>
    <row r="417" spans="1:9" x14ac:dyDescent="0.25">
      <c r="A417">
        <v>129991106</v>
      </c>
      <c r="B417" s="2">
        <v>46159.416666666664</v>
      </c>
      <c r="C417" t="s">
        <v>22</v>
      </c>
      <c r="D417" t="s">
        <v>17</v>
      </c>
      <c r="E417" t="s">
        <v>27</v>
      </c>
      <c r="F417" t="s">
        <v>69</v>
      </c>
      <c r="G417">
        <v>3.4</v>
      </c>
      <c r="H417">
        <v>1.32</v>
      </c>
      <c r="I417" s="2">
        <v>46154.669803240744</v>
      </c>
    </row>
    <row r="418" spans="1:9" x14ac:dyDescent="0.25">
      <c r="A418">
        <v>129991106</v>
      </c>
      <c r="B418" s="2">
        <v>46159.416666666664</v>
      </c>
      <c r="C418" t="s">
        <v>22</v>
      </c>
      <c r="D418" t="s">
        <v>17</v>
      </c>
      <c r="E418" t="s">
        <v>32</v>
      </c>
      <c r="F418" t="s">
        <v>69</v>
      </c>
      <c r="G418">
        <v>3.4</v>
      </c>
      <c r="H418">
        <v>1.32</v>
      </c>
      <c r="I418" s="2">
        <v>46154.670092592591</v>
      </c>
    </row>
    <row r="419" spans="1:9" x14ac:dyDescent="0.25">
      <c r="A419">
        <v>129991106</v>
      </c>
      <c r="B419" s="2">
        <v>46159.416666666664</v>
      </c>
      <c r="C419" t="s">
        <v>22</v>
      </c>
      <c r="D419" t="s">
        <v>17</v>
      </c>
      <c r="E419" t="s">
        <v>33</v>
      </c>
      <c r="F419" t="s">
        <v>69</v>
      </c>
      <c r="G419">
        <v>3.35</v>
      </c>
      <c r="H419">
        <v>1.32</v>
      </c>
      <c r="I419" s="2">
        <v>46154.669629629629</v>
      </c>
    </row>
    <row r="420" spans="1:9" x14ac:dyDescent="0.25">
      <c r="A420">
        <v>129991107</v>
      </c>
      <c r="B420" s="2">
        <v>46159.416666666664</v>
      </c>
      <c r="C420" t="s">
        <v>13</v>
      </c>
      <c r="D420" t="s">
        <v>9</v>
      </c>
      <c r="E420" t="s">
        <v>25</v>
      </c>
      <c r="F420" t="s">
        <v>69</v>
      </c>
      <c r="G420">
        <v>1.71</v>
      </c>
      <c r="H420">
        <v>2.14</v>
      </c>
      <c r="I420" s="2">
        <v>46154.669942129629</v>
      </c>
    </row>
    <row r="421" spans="1:9" x14ac:dyDescent="0.25">
      <c r="A421">
        <v>129991107</v>
      </c>
      <c r="B421" s="2">
        <v>46159.416666666664</v>
      </c>
      <c r="C421" t="s">
        <v>13</v>
      </c>
      <c r="D421" t="s">
        <v>9</v>
      </c>
      <c r="E421" t="s">
        <v>26</v>
      </c>
      <c r="F421" t="s">
        <v>69</v>
      </c>
      <c r="G421">
        <v>1.68</v>
      </c>
      <c r="H421">
        <v>2.3199999999999998</v>
      </c>
      <c r="I421" s="2">
        <v>46154.669953703706</v>
      </c>
    </row>
    <row r="422" spans="1:9" x14ac:dyDescent="0.25">
      <c r="A422">
        <v>129991107</v>
      </c>
      <c r="B422" s="2">
        <v>46159.416666666664</v>
      </c>
      <c r="C422" t="s">
        <v>13</v>
      </c>
      <c r="D422" t="s">
        <v>9</v>
      </c>
      <c r="E422" t="s">
        <v>24</v>
      </c>
      <c r="F422" t="s">
        <v>69</v>
      </c>
      <c r="G422">
        <v>1.7</v>
      </c>
      <c r="H422">
        <v>2.15</v>
      </c>
      <c r="I422" s="2">
        <v>46154.669629629629</v>
      </c>
    </row>
    <row r="423" spans="1:9" x14ac:dyDescent="0.25">
      <c r="A423">
        <v>129991107</v>
      </c>
      <c r="B423" s="2">
        <v>46159.416666666664</v>
      </c>
      <c r="C423" t="s">
        <v>13</v>
      </c>
      <c r="D423" t="s">
        <v>9</v>
      </c>
      <c r="E423" t="s">
        <v>30</v>
      </c>
      <c r="F423" t="s">
        <v>69</v>
      </c>
      <c r="G423">
        <v>1.7</v>
      </c>
      <c r="H423">
        <v>2.15</v>
      </c>
      <c r="I423" s="2">
        <v>46154.669618055559</v>
      </c>
    </row>
    <row r="424" spans="1:9" x14ac:dyDescent="0.25">
      <c r="A424">
        <v>129991107</v>
      </c>
      <c r="B424" s="2">
        <v>46159.416666666664</v>
      </c>
      <c r="C424" t="s">
        <v>13</v>
      </c>
      <c r="D424" t="s">
        <v>9</v>
      </c>
      <c r="E424" t="s">
        <v>29</v>
      </c>
      <c r="F424" t="s">
        <v>69</v>
      </c>
      <c r="G424">
        <v>1.7</v>
      </c>
      <c r="H424">
        <v>2.15</v>
      </c>
      <c r="I424" s="2">
        <v>46154.669791666667</v>
      </c>
    </row>
    <row r="425" spans="1:9" x14ac:dyDescent="0.25">
      <c r="A425">
        <v>129991107</v>
      </c>
      <c r="B425" s="2">
        <v>46159.416666666664</v>
      </c>
      <c r="C425" t="s">
        <v>13</v>
      </c>
      <c r="D425" t="s">
        <v>9</v>
      </c>
      <c r="E425" t="s">
        <v>31</v>
      </c>
      <c r="F425" t="s">
        <v>69</v>
      </c>
      <c r="G425">
        <v>1.65</v>
      </c>
      <c r="H425">
        <v>2.2000000000000002</v>
      </c>
      <c r="I425" s="2">
        <v>46154.670104166667</v>
      </c>
    </row>
    <row r="426" spans="1:9" x14ac:dyDescent="0.25">
      <c r="A426">
        <v>129991107</v>
      </c>
      <c r="B426" s="2">
        <v>46159.416666666664</v>
      </c>
      <c r="C426" t="s">
        <v>13</v>
      </c>
      <c r="D426" t="s">
        <v>9</v>
      </c>
      <c r="E426" t="s">
        <v>28</v>
      </c>
      <c r="F426" t="s">
        <v>69</v>
      </c>
      <c r="G426">
        <v>1.73</v>
      </c>
      <c r="H426">
        <v>2.1</v>
      </c>
      <c r="I426" s="2">
        <v>46154.669942129629</v>
      </c>
    </row>
    <row r="427" spans="1:9" x14ac:dyDescent="0.25">
      <c r="A427">
        <v>129991107</v>
      </c>
      <c r="B427" s="2">
        <v>46159.416666666664</v>
      </c>
      <c r="C427" t="s">
        <v>13</v>
      </c>
      <c r="D427" t="s">
        <v>9</v>
      </c>
      <c r="E427" t="s">
        <v>23</v>
      </c>
      <c r="F427" t="s">
        <v>69</v>
      </c>
      <c r="G427">
        <v>1.71</v>
      </c>
      <c r="H427">
        <v>2.14</v>
      </c>
      <c r="I427" s="2">
        <v>46154.669942129629</v>
      </c>
    </row>
    <row r="428" spans="1:9" x14ac:dyDescent="0.25">
      <c r="A428">
        <v>129991107</v>
      </c>
      <c r="B428" s="2">
        <v>46159.416666666664</v>
      </c>
      <c r="C428" t="s">
        <v>13</v>
      </c>
      <c r="D428" t="s">
        <v>9</v>
      </c>
      <c r="E428" t="s">
        <v>27</v>
      </c>
      <c r="F428" t="s">
        <v>69</v>
      </c>
      <c r="G428">
        <v>1.67</v>
      </c>
      <c r="H428">
        <v>2.2000000000000002</v>
      </c>
      <c r="I428" s="2">
        <v>46154.669803240744</v>
      </c>
    </row>
    <row r="429" spans="1:9" x14ac:dyDescent="0.25">
      <c r="A429">
        <v>129991107</v>
      </c>
      <c r="B429" s="2">
        <v>46159.416666666664</v>
      </c>
      <c r="C429" t="s">
        <v>13</v>
      </c>
      <c r="D429" t="s">
        <v>9</v>
      </c>
      <c r="E429" t="s">
        <v>32</v>
      </c>
      <c r="F429" t="s">
        <v>69</v>
      </c>
      <c r="G429">
        <v>1.68</v>
      </c>
      <c r="H429">
        <v>2.2000000000000002</v>
      </c>
      <c r="I429" s="2">
        <v>46154.670092592591</v>
      </c>
    </row>
    <row r="430" spans="1:9" x14ac:dyDescent="0.25">
      <c r="A430">
        <v>129991107</v>
      </c>
      <c r="B430" s="2">
        <v>46159.416666666664</v>
      </c>
      <c r="C430" t="s">
        <v>13</v>
      </c>
      <c r="D430" t="s">
        <v>9</v>
      </c>
      <c r="E430" t="s">
        <v>33</v>
      </c>
      <c r="F430" t="s">
        <v>69</v>
      </c>
      <c r="G430">
        <v>1.67</v>
      </c>
      <c r="H430">
        <v>2.1800000000000002</v>
      </c>
      <c r="I430" s="2">
        <v>46154.669629629629</v>
      </c>
    </row>
    <row r="431" spans="1:9" x14ac:dyDescent="0.25">
      <c r="A431">
        <v>129991108</v>
      </c>
      <c r="B431" s="2">
        <v>46159.416666666664</v>
      </c>
      <c r="C431" t="s">
        <v>16</v>
      </c>
      <c r="D431" t="s">
        <v>11</v>
      </c>
      <c r="E431" t="s">
        <v>25</v>
      </c>
      <c r="F431" t="s">
        <v>69</v>
      </c>
      <c r="G431">
        <v>1.04</v>
      </c>
      <c r="H431">
        <v>10</v>
      </c>
      <c r="I431" s="2">
        <v>46154.669942129629</v>
      </c>
    </row>
    <row r="432" spans="1:9" x14ac:dyDescent="0.25">
      <c r="A432">
        <v>129991108</v>
      </c>
      <c r="B432" s="2">
        <v>46159.416666666664</v>
      </c>
      <c r="C432" t="s">
        <v>16</v>
      </c>
      <c r="D432" t="s">
        <v>11</v>
      </c>
      <c r="E432" t="s">
        <v>26</v>
      </c>
      <c r="F432" t="s">
        <v>69</v>
      </c>
      <c r="G432">
        <v>1.06</v>
      </c>
      <c r="H432">
        <v>14.5</v>
      </c>
      <c r="I432" s="2">
        <v>46154.669953703706</v>
      </c>
    </row>
    <row r="433" spans="1:9" x14ac:dyDescent="0.25">
      <c r="A433">
        <v>129991108</v>
      </c>
      <c r="B433" s="2">
        <v>46159.416666666664</v>
      </c>
      <c r="C433" t="s">
        <v>16</v>
      </c>
      <c r="D433" t="s">
        <v>11</v>
      </c>
      <c r="E433" t="s">
        <v>24</v>
      </c>
      <c r="F433" t="s">
        <v>69</v>
      </c>
      <c r="G433">
        <v>1.03</v>
      </c>
      <c r="H433">
        <v>13</v>
      </c>
      <c r="I433" s="2">
        <v>46154.669629629629</v>
      </c>
    </row>
    <row r="434" spans="1:9" x14ac:dyDescent="0.25">
      <c r="A434">
        <v>129991108</v>
      </c>
      <c r="B434" s="2">
        <v>46159.416666666664</v>
      </c>
      <c r="C434" t="s">
        <v>16</v>
      </c>
      <c r="D434" t="s">
        <v>11</v>
      </c>
      <c r="E434" t="s">
        <v>30</v>
      </c>
      <c r="F434" t="s">
        <v>69</v>
      </c>
      <c r="G434">
        <v>1.05</v>
      </c>
      <c r="H434">
        <v>10.5</v>
      </c>
      <c r="I434" s="2">
        <v>46154.669618055559</v>
      </c>
    </row>
    <row r="435" spans="1:9" x14ac:dyDescent="0.25">
      <c r="A435">
        <v>129991108</v>
      </c>
      <c r="B435" s="2">
        <v>46159.416666666664</v>
      </c>
      <c r="C435" t="s">
        <v>16</v>
      </c>
      <c r="D435" t="s">
        <v>11</v>
      </c>
      <c r="E435" t="s">
        <v>29</v>
      </c>
      <c r="F435" t="s">
        <v>69</v>
      </c>
      <c r="G435">
        <v>1.05</v>
      </c>
      <c r="H435">
        <v>10.5</v>
      </c>
      <c r="I435" s="2">
        <v>46154.669791666667</v>
      </c>
    </row>
    <row r="436" spans="1:9" x14ac:dyDescent="0.25">
      <c r="A436">
        <v>129991108</v>
      </c>
      <c r="B436" s="2">
        <v>46159.416666666664</v>
      </c>
      <c r="C436" t="s">
        <v>16</v>
      </c>
      <c r="D436" t="s">
        <v>11</v>
      </c>
      <c r="E436" t="s">
        <v>31</v>
      </c>
      <c r="F436" t="s">
        <v>69</v>
      </c>
      <c r="G436">
        <v>1.03</v>
      </c>
      <c r="H436">
        <v>11</v>
      </c>
      <c r="I436" s="2">
        <v>46154.670104166667</v>
      </c>
    </row>
    <row r="437" spans="1:9" x14ac:dyDescent="0.25">
      <c r="A437">
        <v>129991108</v>
      </c>
      <c r="B437" s="2">
        <v>46159.416666666664</v>
      </c>
      <c r="C437" t="s">
        <v>16</v>
      </c>
      <c r="D437" t="s">
        <v>11</v>
      </c>
      <c r="E437" t="s">
        <v>28</v>
      </c>
      <c r="F437" t="s">
        <v>69</v>
      </c>
      <c r="G437">
        <v>1.03</v>
      </c>
      <c r="H437">
        <v>11</v>
      </c>
      <c r="I437" s="2">
        <v>46154.669942129629</v>
      </c>
    </row>
    <row r="438" spans="1:9" x14ac:dyDescent="0.25">
      <c r="A438">
        <v>129991108</v>
      </c>
      <c r="B438" s="2">
        <v>46159.416666666664</v>
      </c>
      <c r="C438" t="s">
        <v>16</v>
      </c>
      <c r="D438" t="s">
        <v>11</v>
      </c>
      <c r="E438" t="s">
        <v>23</v>
      </c>
      <c r="F438" t="s">
        <v>69</v>
      </c>
      <c r="G438">
        <v>1.04</v>
      </c>
      <c r="H438">
        <v>11</v>
      </c>
      <c r="I438" s="2">
        <v>46154.669942129629</v>
      </c>
    </row>
    <row r="439" spans="1:9" x14ac:dyDescent="0.25">
      <c r="A439">
        <v>129991108</v>
      </c>
      <c r="B439" s="2">
        <v>46159.416666666664</v>
      </c>
      <c r="C439" t="s">
        <v>16</v>
      </c>
      <c r="D439" t="s">
        <v>11</v>
      </c>
      <c r="E439" t="s">
        <v>27</v>
      </c>
      <c r="F439" t="s">
        <v>69</v>
      </c>
      <c r="G439">
        <v>1.05</v>
      </c>
      <c r="H439">
        <v>10</v>
      </c>
      <c r="I439" s="2">
        <v>46154.669803240744</v>
      </c>
    </row>
    <row r="440" spans="1:9" x14ac:dyDescent="0.25">
      <c r="A440">
        <v>129991108</v>
      </c>
      <c r="B440" s="2">
        <v>46159.416666666664</v>
      </c>
      <c r="C440" t="s">
        <v>16</v>
      </c>
      <c r="D440" t="s">
        <v>11</v>
      </c>
      <c r="E440" t="s">
        <v>32</v>
      </c>
      <c r="F440" t="s">
        <v>69</v>
      </c>
      <c r="G440">
        <v>1.04</v>
      </c>
      <c r="H440">
        <v>11</v>
      </c>
      <c r="I440" s="2">
        <v>46154.670092592591</v>
      </c>
    </row>
    <row r="441" spans="1:9" x14ac:dyDescent="0.25">
      <c r="A441">
        <v>129991108</v>
      </c>
      <c r="B441" s="2">
        <v>46159.416666666664</v>
      </c>
      <c r="C441" t="s">
        <v>16</v>
      </c>
      <c r="D441" t="s">
        <v>11</v>
      </c>
      <c r="E441" t="s">
        <v>33</v>
      </c>
      <c r="F441" t="s">
        <v>69</v>
      </c>
      <c r="G441">
        <v>1.04</v>
      </c>
      <c r="H441">
        <v>11</v>
      </c>
      <c r="I441" s="2">
        <v>46154.669629629629</v>
      </c>
    </row>
    <row r="442" spans="1:9" x14ac:dyDescent="0.25">
      <c r="A442">
        <v>129991201</v>
      </c>
      <c r="B442" s="2">
        <v>46163.416666666664</v>
      </c>
      <c r="C442" t="s">
        <v>4</v>
      </c>
      <c r="D442" t="s">
        <v>12</v>
      </c>
      <c r="E442" t="s">
        <v>25</v>
      </c>
      <c r="F442" t="s">
        <v>69</v>
      </c>
      <c r="G442">
        <v>1.95</v>
      </c>
      <c r="H442">
        <v>1.85</v>
      </c>
      <c r="I442" s="2">
        <v>46161.678819444445</v>
      </c>
    </row>
    <row r="443" spans="1:9" x14ac:dyDescent="0.25">
      <c r="A443">
        <v>129991201</v>
      </c>
      <c r="B443" s="2">
        <v>46163.416666666664</v>
      </c>
      <c r="C443" t="s">
        <v>4</v>
      </c>
      <c r="D443" t="s">
        <v>12</v>
      </c>
      <c r="E443" t="s">
        <v>26</v>
      </c>
      <c r="F443" t="s">
        <v>69</v>
      </c>
      <c r="G443">
        <v>1.9</v>
      </c>
      <c r="H443">
        <v>1.79</v>
      </c>
      <c r="I443" s="2">
        <v>46161.678819444445</v>
      </c>
    </row>
    <row r="444" spans="1:9" x14ac:dyDescent="0.25">
      <c r="A444">
        <v>129991201</v>
      </c>
      <c r="B444" s="2">
        <v>46163.416666666664</v>
      </c>
      <c r="C444" t="s">
        <v>4</v>
      </c>
      <c r="D444" t="s">
        <v>12</v>
      </c>
      <c r="E444" t="s">
        <v>24</v>
      </c>
      <c r="F444" t="s">
        <v>69</v>
      </c>
      <c r="G444">
        <v>1.95</v>
      </c>
      <c r="H444">
        <v>1.85</v>
      </c>
      <c r="I444" s="2">
        <v>46161.678599537037</v>
      </c>
    </row>
    <row r="445" spans="1:9" x14ac:dyDescent="0.25">
      <c r="A445">
        <v>129991201</v>
      </c>
      <c r="B445" s="2">
        <v>46163.416666666664</v>
      </c>
      <c r="C445" t="s">
        <v>4</v>
      </c>
      <c r="D445" t="s">
        <v>12</v>
      </c>
      <c r="E445" t="s">
        <v>30</v>
      </c>
      <c r="F445" t="s">
        <v>69</v>
      </c>
      <c r="G445">
        <v>1.95</v>
      </c>
      <c r="H445">
        <v>1.87</v>
      </c>
      <c r="I445" s="2">
        <v>46161.678379629629</v>
      </c>
    </row>
    <row r="446" spans="1:9" x14ac:dyDescent="0.25">
      <c r="A446">
        <v>129991201</v>
      </c>
      <c r="B446" s="2">
        <v>46163.416666666664</v>
      </c>
      <c r="C446" t="s">
        <v>4</v>
      </c>
      <c r="D446" t="s">
        <v>12</v>
      </c>
      <c r="E446" t="s">
        <v>29</v>
      </c>
      <c r="F446" t="s">
        <v>69</v>
      </c>
      <c r="G446">
        <v>1.95</v>
      </c>
      <c r="H446">
        <v>1.87</v>
      </c>
      <c r="I446" s="2">
        <v>46161.678819444445</v>
      </c>
    </row>
    <row r="447" spans="1:9" x14ac:dyDescent="0.25">
      <c r="A447">
        <v>129991201</v>
      </c>
      <c r="B447" s="2">
        <v>46163.416666666664</v>
      </c>
      <c r="C447" t="s">
        <v>4</v>
      </c>
      <c r="D447" t="s">
        <v>12</v>
      </c>
      <c r="E447" t="s">
        <v>31</v>
      </c>
      <c r="F447" t="s">
        <v>69</v>
      </c>
      <c r="G447">
        <v>1.88</v>
      </c>
      <c r="H447">
        <v>1.88</v>
      </c>
      <c r="I447" s="2">
        <v>46161.678379629629</v>
      </c>
    </row>
    <row r="448" spans="1:9" x14ac:dyDescent="0.25">
      <c r="A448">
        <v>129991201</v>
      </c>
      <c r="B448" s="2">
        <v>46163.416666666664</v>
      </c>
      <c r="C448" t="s">
        <v>4</v>
      </c>
      <c r="D448" t="s">
        <v>12</v>
      </c>
      <c r="E448" t="s">
        <v>28</v>
      </c>
      <c r="F448" t="s">
        <v>69</v>
      </c>
      <c r="G448">
        <v>1.95</v>
      </c>
      <c r="H448">
        <v>1.85</v>
      </c>
      <c r="I448" s="2">
        <v>46161.678599537037</v>
      </c>
    </row>
    <row r="449" spans="1:9" x14ac:dyDescent="0.25">
      <c r="A449">
        <v>129991201</v>
      </c>
      <c r="B449" s="2">
        <v>46163.416666666664</v>
      </c>
      <c r="C449" t="s">
        <v>4</v>
      </c>
      <c r="D449" t="s">
        <v>12</v>
      </c>
      <c r="E449" t="s">
        <v>23</v>
      </c>
      <c r="F449" t="s">
        <v>69</v>
      </c>
      <c r="G449">
        <v>1.95</v>
      </c>
      <c r="H449">
        <v>1.89</v>
      </c>
      <c r="I449" s="2">
        <v>46161.678831018522</v>
      </c>
    </row>
    <row r="450" spans="1:9" x14ac:dyDescent="0.25">
      <c r="A450">
        <v>129991201</v>
      </c>
      <c r="B450" s="2">
        <v>46163.416666666664</v>
      </c>
      <c r="C450" t="s">
        <v>4</v>
      </c>
      <c r="D450" t="s">
        <v>12</v>
      </c>
      <c r="E450" t="s">
        <v>27</v>
      </c>
      <c r="F450" t="s">
        <v>69</v>
      </c>
      <c r="G450">
        <v>1.9</v>
      </c>
      <c r="H450">
        <v>1.9</v>
      </c>
      <c r="I450" s="2">
        <v>46161.678599537037</v>
      </c>
    </row>
    <row r="451" spans="1:9" x14ac:dyDescent="0.25">
      <c r="A451">
        <v>129991201</v>
      </c>
      <c r="B451" s="2">
        <v>46163.416666666664</v>
      </c>
      <c r="C451" t="s">
        <v>4</v>
      </c>
      <c r="D451" t="s">
        <v>12</v>
      </c>
      <c r="E451" t="s">
        <v>32</v>
      </c>
      <c r="F451" t="s">
        <v>69</v>
      </c>
      <c r="G451">
        <v>1.95</v>
      </c>
      <c r="H451">
        <v>1.85</v>
      </c>
      <c r="I451" s="2">
        <v>46161.678379629629</v>
      </c>
    </row>
    <row r="452" spans="1:9" x14ac:dyDescent="0.25">
      <c r="A452">
        <v>129991201</v>
      </c>
      <c r="B452" s="2">
        <v>46163.416666666664</v>
      </c>
      <c r="C452" t="s">
        <v>4</v>
      </c>
      <c r="D452" t="s">
        <v>12</v>
      </c>
      <c r="E452" t="s">
        <v>33</v>
      </c>
      <c r="F452" t="s">
        <v>69</v>
      </c>
      <c r="G452">
        <v>1.95</v>
      </c>
      <c r="H452">
        <v>1.83</v>
      </c>
      <c r="I452" s="2">
        <v>46161.678611111114</v>
      </c>
    </row>
    <row r="453" spans="1:9" x14ac:dyDescent="0.25">
      <c r="A453">
        <v>129991202</v>
      </c>
      <c r="B453" s="2">
        <v>46164.416666666664</v>
      </c>
      <c r="C453" t="s">
        <v>8</v>
      </c>
      <c r="D453" t="s">
        <v>15</v>
      </c>
      <c r="E453" t="s">
        <v>25</v>
      </c>
      <c r="F453" t="s">
        <v>69</v>
      </c>
      <c r="G453">
        <v>1.78</v>
      </c>
      <c r="H453">
        <v>2.04</v>
      </c>
      <c r="I453" s="2">
        <v>46161.678819444445</v>
      </c>
    </row>
    <row r="454" spans="1:9" x14ac:dyDescent="0.25">
      <c r="A454">
        <v>129991202</v>
      </c>
      <c r="B454" s="2">
        <v>46164.416666666664</v>
      </c>
      <c r="C454" t="s">
        <v>8</v>
      </c>
      <c r="D454" t="s">
        <v>15</v>
      </c>
      <c r="E454" t="s">
        <v>26</v>
      </c>
      <c r="F454" t="s">
        <v>69</v>
      </c>
      <c r="G454">
        <v>1.89</v>
      </c>
      <c r="H454">
        <v>1.84</v>
      </c>
      <c r="I454" s="2">
        <v>46161.678819444445</v>
      </c>
    </row>
    <row r="455" spans="1:9" x14ac:dyDescent="0.25">
      <c r="A455">
        <v>129991202</v>
      </c>
      <c r="B455" s="2">
        <v>46164.416666666664</v>
      </c>
      <c r="C455" t="s">
        <v>8</v>
      </c>
      <c r="D455" t="s">
        <v>15</v>
      </c>
      <c r="E455" t="s">
        <v>24</v>
      </c>
      <c r="F455" t="s">
        <v>69</v>
      </c>
      <c r="G455">
        <v>1.72</v>
      </c>
      <c r="H455">
        <v>2.12</v>
      </c>
      <c r="I455" s="2">
        <v>46161.678599537037</v>
      </c>
    </row>
    <row r="456" spans="1:9" x14ac:dyDescent="0.25">
      <c r="A456">
        <v>129991202</v>
      </c>
      <c r="B456" s="2">
        <v>46164.416666666664</v>
      </c>
      <c r="C456" t="s">
        <v>8</v>
      </c>
      <c r="D456" t="s">
        <v>15</v>
      </c>
      <c r="E456" t="s">
        <v>30</v>
      </c>
      <c r="F456" t="s">
        <v>69</v>
      </c>
      <c r="G456">
        <v>1.78</v>
      </c>
      <c r="H456">
        <v>2.0499999999999998</v>
      </c>
      <c r="I456" s="2">
        <v>46161.678379629629</v>
      </c>
    </row>
    <row r="457" spans="1:9" x14ac:dyDescent="0.25">
      <c r="A457">
        <v>129991202</v>
      </c>
      <c r="B457" s="2">
        <v>46164.416666666664</v>
      </c>
      <c r="C457" t="s">
        <v>8</v>
      </c>
      <c r="D457" t="s">
        <v>15</v>
      </c>
      <c r="E457" t="s">
        <v>29</v>
      </c>
      <c r="F457" t="s">
        <v>69</v>
      </c>
      <c r="G457">
        <v>1.78</v>
      </c>
      <c r="H457">
        <v>2.0499999999999998</v>
      </c>
      <c r="I457" s="2">
        <v>46161.678819444445</v>
      </c>
    </row>
    <row r="458" spans="1:9" x14ac:dyDescent="0.25">
      <c r="A458">
        <v>129991202</v>
      </c>
      <c r="B458" s="2">
        <v>46164.416666666664</v>
      </c>
      <c r="C458" t="s">
        <v>8</v>
      </c>
      <c r="D458" t="s">
        <v>15</v>
      </c>
      <c r="E458" t="s">
        <v>31</v>
      </c>
      <c r="F458" t="s">
        <v>69</v>
      </c>
      <c r="G458">
        <v>1.74</v>
      </c>
      <c r="H458">
        <v>2.0499999999999998</v>
      </c>
      <c r="I458" s="2">
        <v>46161.678379629629</v>
      </c>
    </row>
    <row r="459" spans="1:9" x14ac:dyDescent="0.25">
      <c r="A459">
        <v>129991202</v>
      </c>
      <c r="B459" s="2">
        <v>46164.416666666664</v>
      </c>
      <c r="C459" t="s">
        <v>8</v>
      </c>
      <c r="D459" t="s">
        <v>15</v>
      </c>
      <c r="E459" t="s">
        <v>28</v>
      </c>
      <c r="F459" t="s">
        <v>69</v>
      </c>
      <c r="G459">
        <v>1.77</v>
      </c>
      <c r="H459">
        <v>2.0499999999999998</v>
      </c>
      <c r="I459" s="2">
        <v>46161.678599537037</v>
      </c>
    </row>
    <row r="460" spans="1:9" x14ac:dyDescent="0.25">
      <c r="A460">
        <v>129991202</v>
      </c>
      <c r="B460" s="2">
        <v>46164.416666666664</v>
      </c>
      <c r="C460" t="s">
        <v>8</v>
      </c>
      <c r="D460" t="s">
        <v>15</v>
      </c>
      <c r="E460" t="s">
        <v>23</v>
      </c>
      <c r="F460" t="s">
        <v>69</v>
      </c>
      <c r="G460">
        <v>1.86</v>
      </c>
      <c r="H460">
        <v>1.98</v>
      </c>
      <c r="I460" s="2">
        <v>46161.678831018522</v>
      </c>
    </row>
    <row r="461" spans="1:9" x14ac:dyDescent="0.25">
      <c r="A461">
        <v>129991202</v>
      </c>
      <c r="B461" s="2">
        <v>46164.416666666664</v>
      </c>
      <c r="C461" t="s">
        <v>8</v>
      </c>
      <c r="D461" t="s">
        <v>15</v>
      </c>
      <c r="E461" t="s">
        <v>27</v>
      </c>
      <c r="F461" t="s">
        <v>69</v>
      </c>
      <c r="G461">
        <v>1.67</v>
      </c>
      <c r="H461">
        <v>2.2000000000000002</v>
      </c>
      <c r="I461" s="2">
        <v>46161.678599537037</v>
      </c>
    </row>
    <row r="462" spans="1:9" x14ac:dyDescent="0.25">
      <c r="A462">
        <v>129991202</v>
      </c>
      <c r="B462" s="2">
        <v>46164.416666666664</v>
      </c>
      <c r="C462" t="s">
        <v>8</v>
      </c>
      <c r="D462" t="s">
        <v>15</v>
      </c>
      <c r="E462" t="s">
        <v>32</v>
      </c>
      <c r="F462" t="s">
        <v>69</v>
      </c>
      <c r="G462">
        <v>1.73</v>
      </c>
      <c r="H462">
        <v>2.12</v>
      </c>
      <c r="I462" s="2">
        <v>46161.678379629629</v>
      </c>
    </row>
    <row r="463" spans="1:9" x14ac:dyDescent="0.25">
      <c r="A463">
        <v>129991202</v>
      </c>
      <c r="B463" s="2">
        <v>46164.416666666664</v>
      </c>
      <c r="C463" t="s">
        <v>8</v>
      </c>
      <c r="D463" t="s">
        <v>15</v>
      </c>
      <c r="E463" t="s">
        <v>33</v>
      </c>
      <c r="F463" t="s">
        <v>69</v>
      </c>
      <c r="G463">
        <v>1.72</v>
      </c>
      <c r="H463">
        <v>2.1</v>
      </c>
      <c r="I463" s="2">
        <v>46161.678611111114</v>
      </c>
    </row>
    <row r="464" spans="1:9" x14ac:dyDescent="0.25">
      <c r="A464">
        <v>129991203</v>
      </c>
      <c r="B464" s="2">
        <v>46165.416666666664</v>
      </c>
      <c r="C464" t="s">
        <v>11</v>
      </c>
      <c r="D464" t="s">
        <v>13</v>
      </c>
      <c r="E464" t="s">
        <v>25</v>
      </c>
      <c r="F464" t="s">
        <v>69</v>
      </c>
      <c r="G464">
        <v>4.5999999999999996</v>
      </c>
      <c r="H464">
        <v>1.2</v>
      </c>
      <c r="I464" s="2">
        <v>46161.678819444445</v>
      </c>
    </row>
    <row r="465" spans="1:9" x14ac:dyDescent="0.25">
      <c r="A465">
        <v>129991203</v>
      </c>
      <c r="B465" s="2">
        <v>46165.416666666664</v>
      </c>
      <c r="C465" t="s">
        <v>11</v>
      </c>
      <c r="D465" t="s">
        <v>13</v>
      </c>
      <c r="E465" t="s">
        <v>26</v>
      </c>
      <c r="F465" t="s">
        <v>69</v>
      </c>
      <c r="G465">
        <v>4.5</v>
      </c>
      <c r="H465">
        <v>1.21</v>
      </c>
      <c r="I465" s="2">
        <v>46161.678819444445</v>
      </c>
    </row>
    <row r="466" spans="1:9" x14ac:dyDescent="0.25">
      <c r="A466">
        <v>129991203</v>
      </c>
      <c r="B466" s="2">
        <v>46165.416666666664</v>
      </c>
      <c r="C466" t="s">
        <v>11</v>
      </c>
      <c r="D466" t="s">
        <v>13</v>
      </c>
      <c r="E466" t="s">
        <v>24</v>
      </c>
      <c r="F466" t="s">
        <v>69</v>
      </c>
      <c r="G466">
        <v>4</v>
      </c>
      <c r="H466">
        <v>1.25</v>
      </c>
      <c r="I466" s="2">
        <v>46161.678599537037</v>
      </c>
    </row>
    <row r="467" spans="1:9" x14ac:dyDescent="0.25">
      <c r="A467">
        <v>129991203</v>
      </c>
      <c r="B467" s="2">
        <v>46165.416666666664</v>
      </c>
      <c r="C467" t="s">
        <v>11</v>
      </c>
      <c r="D467" t="s">
        <v>13</v>
      </c>
      <c r="E467" t="s">
        <v>30</v>
      </c>
      <c r="F467" t="s">
        <v>69</v>
      </c>
      <c r="G467">
        <v>5</v>
      </c>
      <c r="H467">
        <v>1.18</v>
      </c>
      <c r="I467" s="2">
        <v>46161.678379629629</v>
      </c>
    </row>
    <row r="468" spans="1:9" x14ac:dyDescent="0.25">
      <c r="A468">
        <v>129991203</v>
      </c>
      <c r="B468" s="2">
        <v>46165.416666666664</v>
      </c>
      <c r="C468" t="s">
        <v>11</v>
      </c>
      <c r="D468" t="s">
        <v>13</v>
      </c>
      <c r="E468" t="s">
        <v>29</v>
      </c>
      <c r="F468" t="s">
        <v>69</v>
      </c>
      <c r="G468">
        <v>5</v>
      </c>
      <c r="H468">
        <v>1.18</v>
      </c>
      <c r="I468" s="2">
        <v>46161.678819444445</v>
      </c>
    </row>
    <row r="469" spans="1:9" x14ac:dyDescent="0.25">
      <c r="A469">
        <v>129991203</v>
      </c>
      <c r="B469" s="2">
        <v>46165.416666666664</v>
      </c>
      <c r="C469" t="s">
        <v>11</v>
      </c>
      <c r="D469" t="s">
        <v>13</v>
      </c>
      <c r="E469" t="s">
        <v>31</v>
      </c>
      <c r="F469" t="s">
        <v>69</v>
      </c>
      <c r="G469">
        <v>4.1500000000000004</v>
      </c>
      <c r="H469">
        <v>1.22</v>
      </c>
      <c r="I469" s="2">
        <v>46161.678379629629</v>
      </c>
    </row>
    <row r="470" spans="1:9" x14ac:dyDescent="0.25">
      <c r="A470">
        <v>129991203</v>
      </c>
      <c r="B470" s="2">
        <v>46165.416666666664</v>
      </c>
      <c r="C470" t="s">
        <v>11</v>
      </c>
      <c r="D470" t="s">
        <v>13</v>
      </c>
      <c r="E470" t="s">
        <v>28</v>
      </c>
      <c r="F470" t="s">
        <v>69</v>
      </c>
      <c r="G470">
        <v>4.4000000000000004</v>
      </c>
      <c r="H470">
        <v>1.2</v>
      </c>
      <c r="I470" s="2">
        <v>46161.678599537037</v>
      </c>
    </row>
    <row r="471" spans="1:9" x14ac:dyDescent="0.25">
      <c r="A471">
        <v>129991203</v>
      </c>
      <c r="B471" s="2">
        <v>46165.416666666664</v>
      </c>
      <c r="C471" t="s">
        <v>11</v>
      </c>
      <c r="D471" t="s">
        <v>13</v>
      </c>
      <c r="E471" t="s">
        <v>23</v>
      </c>
      <c r="F471" t="s">
        <v>69</v>
      </c>
      <c r="G471">
        <v>4.5999999999999996</v>
      </c>
      <c r="H471">
        <v>1.2</v>
      </c>
      <c r="I471" s="2">
        <v>46161.678831018522</v>
      </c>
    </row>
    <row r="472" spans="1:9" x14ac:dyDescent="0.25">
      <c r="A472">
        <v>129991203</v>
      </c>
      <c r="B472" s="2">
        <v>46165.416666666664</v>
      </c>
      <c r="C472" t="s">
        <v>11</v>
      </c>
      <c r="D472" t="s">
        <v>13</v>
      </c>
      <c r="E472" t="s">
        <v>27</v>
      </c>
      <c r="F472" t="s">
        <v>69</v>
      </c>
      <c r="G472">
        <v>4.3</v>
      </c>
      <c r="H472">
        <v>1.22</v>
      </c>
      <c r="I472" s="2">
        <v>46161.678599537037</v>
      </c>
    </row>
    <row r="473" spans="1:9" x14ac:dyDescent="0.25">
      <c r="A473">
        <v>129991203</v>
      </c>
      <c r="B473" s="2">
        <v>46165.416666666664</v>
      </c>
      <c r="C473" t="s">
        <v>11</v>
      </c>
      <c r="D473" t="s">
        <v>13</v>
      </c>
      <c r="E473" t="s">
        <v>32</v>
      </c>
      <c r="F473" t="s">
        <v>69</v>
      </c>
      <c r="G473">
        <v>4.0999999999999996</v>
      </c>
      <c r="H473">
        <v>1.24</v>
      </c>
      <c r="I473" s="2">
        <v>46161.678379629629</v>
      </c>
    </row>
    <row r="474" spans="1:9" x14ac:dyDescent="0.25">
      <c r="A474">
        <v>129991203</v>
      </c>
      <c r="B474" s="2">
        <v>46165.416666666664</v>
      </c>
      <c r="C474" t="s">
        <v>11</v>
      </c>
      <c r="D474" t="s">
        <v>13</v>
      </c>
      <c r="E474" t="s">
        <v>33</v>
      </c>
      <c r="F474" t="s">
        <v>69</v>
      </c>
      <c r="G474">
        <v>4</v>
      </c>
      <c r="H474">
        <v>1.23</v>
      </c>
      <c r="I474" s="2">
        <v>46161.678611111114</v>
      </c>
    </row>
    <row r="475" spans="1:9" x14ac:dyDescent="0.25">
      <c r="A475">
        <v>129991204</v>
      </c>
      <c r="B475" s="2">
        <v>46165.416666666664</v>
      </c>
      <c r="C475" t="s">
        <v>19</v>
      </c>
      <c r="D475" t="s">
        <v>22</v>
      </c>
      <c r="E475" t="s">
        <v>25</v>
      </c>
      <c r="F475" t="s">
        <v>69</v>
      </c>
      <c r="G475">
        <v>1.27</v>
      </c>
      <c r="H475">
        <v>3.8</v>
      </c>
      <c r="I475" s="2">
        <v>46161.678819444445</v>
      </c>
    </row>
    <row r="476" spans="1:9" x14ac:dyDescent="0.25">
      <c r="A476">
        <v>129991204</v>
      </c>
      <c r="B476" s="2">
        <v>46165.416666666664</v>
      </c>
      <c r="C476" t="s">
        <v>19</v>
      </c>
      <c r="D476" t="s">
        <v>22</v>
      </c>
      <c r="E476" t="s">
        <v>26</v>
      </c>
      <c r="F476" t="s">
        <v>69</v>
      </c>
      <c r="G476">
        <v>1.31</v>
      </c>
      <c r="H476">
        <v>1.1000000000000001</v>
      </c>
      <c r="I476" s="2">
        <v>46161.678819444445</v>
      </c>
    </row>
    <row r="477" spans="1:9" x14ac:dyDescent="0.25">
      <c r="A477">
        <v>129991204</v>
      </c>
      <c r="B477" s="2">
        <v>46165.416666666664</v>
      </c>
      <c r="C477" t="s">
        <v>19</v>
      </c>
      <c r="D477" t="s">
        <v>22</v>
      </c>
      <c r="E477" t="s">
        <v>24</v>
      </c>
      <c r="F477" t="s">
        <v>69</v>
      </c>
      <c r="G477">
        <v>1.3</v>
      </c>
      <c r="H477">
        <v>3.55</v>
      </c>
      <c r="I477" s="2">
        <v>46161.678599537037</v>
      </c>
    </row>
    <row r="478" spans="1:9" x14ac:dyDescent="0.25">
      <c r="A478">
        <v>129991204</v>
      </c>
      <c r="B478" s="2">
        <v>46165.416666666664</v>
      </c>
      <c r="C478" t="s">
        <v>19</v>
      </c>
      <c r="D478" t="s">
        <v>22</v>
      </c>
      <c r="E478" t="s">
        <v>30</v>
      </c>
      <c r="F478" t="s">
        <v>69</v>
      </c>
      <c r="G478">
        <v>1.25</v>
      </c>
      <c r="H478">
        <v>4</v>
      </c>
      <c r="I478" s="2">
        <v>46161.678379629629</v>
      </c>
    </row>
    <row r="479" spans="1:9" x14ac:dyDescent="0.25">
      <c r="A479">
        <v>129991204</v>
      </c>
      <c r="B479" s="2">
        <v>46165.416666666664</v>
      </c>
      <c r="C479" t="s">
        <v>19</v>
      </c>
      <c r="D479" t="s">
        <v>22</v>
      </c>
      <c r="E479" t="s">
        <v>29</v>
      </c>
      <c r="F479" t="s">
        <v>69</v>
      </c>
      <c r="G479">
        <v>1.25</v>
      </c>
      <c r="H479">
        <v>4</v>
      </c>
      <c r="I479" s="2">
        <v>46161.678819444445</v>
      </c>
    </row>
    <row r="480" spans="1:9" x14ac:dyDescent="0.25">
      <c r="A480">
        <v>129991204</v>
      </c>
      <c r="B480" s="2">
        <v>46165.416666666664</v>
      </c>
      <c r="C480" t="s">
        <v>19</v>
      </c>
      <c r="D480" t="s">
        <v>22</v>
      </c>
      <c r="E480" t="s">
        <v>31</v>
      </c>
      <c r="F480" t="s">
        <v>69</v>
      </c>
      <c r="G480">
        <v>1.26</v>
      </c>
      <c r="H480">
        <v>3.75</v>
      </c>
      <c r="I480" s="2">
        <v>46161.678379629629</v>
      </c>
    </row>
    <row r="481" spans="1:9" x14ac:dyDescent="0.25">
      <c r="A481">
        <v>129991204</v>
      </c>
      <c r="B481" s="2">
        <v>46165.416666666664</v>
      </c>
      <c r="C481" t="s">
        <v>19</v>
      </c>
      <c r="D481" t="s">
        <v>22</v>
      </c>
      <c r="E481" t="s">
        <v>28</v>
      </c>
      <c r="F481" t="s">
        <v>69</v>
      </c>
      <c r="G481">
        <v>1.27</v>
      </c>
      <c r="H481">
        <v>3.65</v>
      </c>
      <c r="I481" s="2">
        <v>46161.678599537037</v>
      </c>
    </row>
    <row r="482" spans="1:9" x14ac:dyDescent="0.25">
      <c r="A482">
        <v>129991204</v>
      </c>
      <c r="B482" s="2">
        <v>46165.416666666664</v>
      </c>
      <c r="C482" t="s">
        <v>19</v>
      </c>
      <c r="D482" t="s">
        <v>22</v>
      </c>
      <c r="E482" t="s">
        <v>23</v>
      </c>
      <c r="F482" t="s">
        <v>69</v>
      </c>
      <c r="G482">
        <v>1.24</v>
      </c>
      <c r="H482">
        <v>4.0999999999999996</v>
      </c>
      <c r="I482" s="2">
        <v>46161.678831018522</v>
      </c>
    </row>
    <row r="483" spans="1:9" x14ac:dyDescent="0.25">
      <c r="A483">
        <v>129991204</v>
      </c>
      <c r="B483" s="2">
        <v>46165.416666666664</v>
      </c>
      <c r="C483" t="s">
        <v>19</v>
      </c>
      <c r="D483" t="s">
        <v>22</v>
      </c>
      <c r="E483" t="s">
        <v>27</v>
      </c>
      <c r="F483" t="s">
        <v>69</v>
      </c>
      <c r="G483">
        <v>1.28</v>
      </c>
      <c r="H483">
        <v>3.7</v>
      </c>
      <c r="I483" s="2">
        <v>46161.678599537037</v>
      </c>
    </row>
    <row r="484" spans="1:9" x14ac:dyDescent="0.25">
      <c r="A484">
        <v>129991204</v>
      </c>
      <c r="B484" s="2">
        <v>46165.416666666664</v>
      </c>
      <c r="C484" t="s">
        <v>19</v>
      </c>
      <c r="D484" t="s">
        <v>22</v>
      </c>
      <c r="E484" t="s">
        <v>32</v>
      </c>
      <c r="F484" t="s">
        <v>69</v>
      </c>
      <c r="G484">
        <v>1.25</v>
      </c>
      <c r="H484">
        <v>4</v>
      </c>
      <c r="I484" s="2">
        <v>46161.678379629629</v>
      </c>
    </row>
    <row r="485" spans="1:9" x14ac:dyDescent="0.25">
      <c r="A485">
        <v>129991204</v>
      </c>
      <c r="B485" s="2">
        <v>46165.416666666664</v>
      </c>
      <c r="C485" t="s">
        <v>19</v>
      </c>
      <c r="D485" t="s">
        <v>22</v>
      </c>
      <c r="E485" t="s">
        <v>33</v>
      </c>
      <c r="F485" t="s">
        <v>69</v>
      </c>
      <c r="G485">
        <v>1.24</v>
      </c>
      <c r="H485">
        <v>3.95</v>
      </c>
      <c r="I485" s="2">
        <v>46161.678611111114</v>
      </c>
    </row>
    <row r="486" spans="1:9" x14ac:dyDescent="0.25">
      <c r="A486">
        <v>129991205</v>
      </c>
      <c r="B486" s="2">
        <v>46166.416666666664</v>
      </c>
      <c r="C486" t="s">
        <v>7</v>
      </c>
      <c r="D486" t="s">
        <v>14</v>
      </c>
      <c r="E486" t="s">
        <v>25</v>
      </c>
      <c r="F486" t="s">
        <v>69</v>
      </c>
      <c r="G486">
        <v>1.7</v>
      </c>
      <c r="H486">
        <v>2.15</v>
      </c>
      <c r="I486" s="2">
        <v>46161.678819444445</v>
      </c>
    </row>
    <row r="487" spans="1:9" x14ac:dyDescent="0.25">
      <c r="A487">
        <v>129991205</v>
      </c>
      <c r="B487" s="2">
        <v>46166.416666666664</v>
      </c>
      <c r="C487" t="s">
        <v>7</v>
      </c>
      <c r="D487" t="s">
        <v>14</v>
      </c>
      <c r="E487" t="s">
        <v>26</v>
      </c>
      <c r="F487" t="s">
        <v>69</v>
      </c>
      <c r="G487">
        <v>1.01</v>
      </c>
      <c r="H487">
        <v>2.14</v>
      </c>
      <c r="I487" s="2">
        <v>46161.678819444445</v>
      </c>
    </row>
    <row r="488" spans="1:9" x14ac:dyDescent="0.25">
      <c r="A488">
        <v>129991205</v>
      </c>
      <c r="B488" s="2">
        <v>46166.416666666664</v>
      </c>
      <c r="C488" t="s">
        <v>7</v>
      </c>
      <c r="D488" t="s">
        <v>14</v>
      </c>
      <c r="E488" t="s">
        <v>24</v>
      </c>
      <c r="F488" t="s">
        <v>69</v>
      </c>
      <c r="G488">
        <v>1.6</v>
      </c>
      <c r="H488">
        <v>2.35</v>
      </c>
      <c r="I488" s="2">
        <v>46161.678599537037</v>
      </c>
    </row>
    <row r="489" spans="1:9" x14ac:dyDescent="0.25">
      <c r="A489">
        <v>129991205</v>
      </c>
      <c r="B489" s="2">
        <v>46166.416666666664</v>
      </c>
      <c r="C489" t="s">
        <v>7</v>
      </c>
      <c r="D489" t="s">
        <v>14</v>
      </c>
      <c r="E489" t="s">
        <v>30</v>
      </c>
      <c r="F489" t="s">
        <v>69</v>
      </c>
      <c r="G489">
        <v>1.7</v>
      </c>
      <c r="H489">
        <v>2.15</v>
      </c>
      <c r="I489" s="2">
        <v>46161.678379629629</v>
      </c>
    </row>
    <row r="490" spans="1:9" x14ac:dyDescent="0.25">
      <c r="A490">
        <v>129991205</v>
      </c>
      <c r="B490" s="2">
        <v>46166.416666666664</v>
      </c>
      <c r="C490" t="s">
        <v>7</v>
      </c>
      <c r="D490" t="s">
        <v>14</v>
      </c>
      <c r="E490" t="s">
        <v>29</v>
      </c>
      <c r="F490" t="s">
        <v>69</v>
      </c>
      <c r="G490">
        <v>1.7</v>
      </c>
      <c r="H490">
        <v>2.15</v>
      </c>
      <c r="I490" s="2">
        <v>46161.678819444445</v>
      </c>
    </row>
    <row r="491" spans="1:9" x14ac:dyDescent="0.25">
      <c r="A491">
        <v>129991205</v>
      </c>
      <c r="B491" s="2">
        <v>46166.416666666664</v>
      </c>
      <c r="C491" t="s">
        <v>7</v>
      </c>
      <c r="D491" t="s">
        <v>14</v>
      </c>
      <c r="E491" t="s">
        <v>31</v>
      </c>
      <c r="F491" t="s">
        <v>69</v>
      </c>
      <c r="G491">
        <v>1.62</v>
      </c>
      <c r="H491">
        <v>2.25</v>
      </c>
      <c r="I491" s="2">
        <v>46161.678379629629</v>
      </c>
    </row>
    <row r="492" spans="1:9" x14ac:dyDescent="0.25">
      <c r="A492">
        <v>129991205</v>
      </c>
      <c r="B492" s="2">
        <v>46166.416666666664</v>
      </c>
      <c r="C492" t="s">
        <v>7</v>
      </c>
      <c r="D492" t="s">
        <v>14</v>
      </c>
      <c r="E492" t="s">
        <v>28</v>
      </c>
      <c r="F492" t="s">
        <v>69</v>
      </c>
      <c r="G492">
        <v>1.68</v>
      </c>
      <c r="H492">
        <v>2.15</v>
      </c>
      <c r="I492" s="2">
        <v>46161.678599537037</v>
      </c>
    </row>
    <row r="493" spans="1:9" x14ac:dyDescent="0.25">
      <c r="A493">
        <v>129991205</v>
      </c>
      <c r="B493" s="2">
        <v>46166.416666666664</v>
      </c>
      <c r="C493" t="s">
        <v>7</v>
      </c>
      <c r="D493" t="s">
        <v>14</v>
      </c>
      <c r="E493" t="s">
        <v>23</v>
      </c>
      <c r="F493" t="s">
        <v>69</v>
      </c>
      <c r="G493">
        <v>1.69</v>
      </c>
      <c r="H493">
        <v>2.1800000000000002</v>
      </c>
      <c r="I493" s="2">
        <v>46161.678831018522</v>
      </c>
    </row>
    <row r="494" spans="1:9" x14ac:dyDescent="0.25">
      <c r="A494">
        <v>129991205</v>
      </c>
      <c r="B494" s="2">
        <v>46166.416666666664</v>
      </c>
      <c r="C494" t="s">
        <v>7</v>
      </c>
      <c r="D494" t="s">
        <v>14</v>
      </c>
      <c r="E494" t="s">
        <v>27</v>
      </c>
      <c r="F494" t="s">
        <v>69</v>
      </c>
      <c r="G494">
        <v>1.62</v>
      </c>
      <c r="H494">
        <v>2.2999999999999998</v>
      </c>
      <c r="I494" s="2">
        <v>46161.678599537037</v>
      </c>
    </row>
    <row r="495" spans="1:9" x14ac:dyDescent="0.25">
      <c r="A495">
        <v>129991205</v>
      </c>
      <c r="B495" s="2">
        <v>46166.416666666664</v>
      </c>
      <c r="C495" t="s">
        <v>7</v>
      </c>
      <c r="D495" t="s">
        <v>14</v>
      </c>
      <c r="E495" t="s">
        <v>32</v>
      </c>
      <c r="F495" t="s">
        <v>69</v>
      </c>
      <c r="G495">
        <v>1.65</v>
      </c>
      <c r="H495">
        <v>2.25</v>
      </c>
      <c r="I495" s="2">
        <v>46161.678379629629</v>
      </c>
    </row>
    <row r="496" spans="1:9" x14ac:dyDescent="0.25">
      <c r="A496">
        <v>129991205</v>
      </c>
      <c r="B496" s="2">
        <v>46166.416666666664</v>
      </c>
      <c r="C496" t="s">
        <v>7</v>
      </c>
      <c r="D496" t="s">
        <v>14</v>
      </c>
      <c r="E496" t="s">
        <v>33</v>
      </c>
      <c r="F496" t="s">
        <v>69</v>
      </c>
      <c r="G496">
        <v>1.64</v>
      </c>
      <c r="H496">
        <v>2.23</v>
      </c>
      <c r="I496" s="2">
        <v>46161.678611111114</v>
      </c>
    </row>
    <row r="497" spans="1:9" x14ac:dyDescent="0.25">
      <c r="A497">
        <v>129991301</v>
      </c>
      <c r="B497" s="2">
        <v>46171.833333333336</v>
      </c>
      <c r="C497" t="s">
        <v>6</v>
      </c>
      <c r="D497" t="s">
        <v>19</v>
      </c>
      <c r="E497" t="s">
        <v>64</v>
      </c>
      <c r="F497" t="s">
        <v>69</v>
      </c>
      <c r="G497">
        <v>1.87</v>
      </c>
      <c r="H497">
        <v>1.1599999999999999</v>
      </c>
      <c r="I497" s="2">
        <v>46168.944895833331</v>
      </c>
    </row>
    <row r="498" spans="1:9" x14ac:dyDescent="0.25">
      <c r="A498">
        <v>129991301</v>
      </c>
      <c r="B498" s="2">
        <v>46171.833333333336</v>
      </c>
      <c r="C498" t="s">
        <v>6</v>
      </c>
      <c r="D498" t="s">
        <v>19</v>
      </c>
      <c r="E498" t="s">
        <v>66</v>
      </c>
      <c r="F498" t="s">
        <v>69</v>
      </c>
      <c r="G498">
        <v>1.9</v>
      </c>
      <c r="H498">
        <v>1.9</v>
      </c>
      <c r="I498" s="2">
        <v>46168.944224537037</v>
      </c>
    </row>
    <row r="499" spans="1:9" x14ac:dyDescent="0.25">
      <c r="A499">
        <v>129991301</v>
      </c>
      <c r="B499" s="2">
        <v>46171.833333333336</v>
      </c>
      <c r="C499" t="s">
        <v>6</v>
      </c>
      <c r="D499" t="s">
        <v>19</v>
      </c>
      <c r="E499" t="s">
        <v>63</v>
      </c>
      <c r="F499" t="s">
        <v>69</v>
      </c>
      <c r="G499">
        <v>1.85</v>
      </c>
      <c r="H499">
        <v>1.95</v>
      </c>
      <c r="I499" s="2">
        <v>46168.944664351853</v>
      </c>
    </row>
    <row r="500" spans="1:9" x14ac:dyDescent="0.25">
      <c r="A500">
        <v>129991301</v>
      </c>
      <c r="B500" s="2">
        <v>46171.833333333336</v>
      </c>
      <c r="C500" t="s">
        <v>6</v>
      </c>
      <c r="D500" t="s">
        <v>19</v>
      </c>
      <c r="E500" t="s">
        <v>70</v>
      </c>
      <c r="F500" t="s">
        <v>69</v>
      </c>
      <c r="G500">
        <v>1.85</v>
      </c>
      <c r="H500">
        <v>1.96</v>
      </c>
      <c r="I500" s="2">
        <v>46168.944884259261</v>
      </c>
    </row>
    <row r="501" spans="1:9" x14ac:dyDescent="0.25">
      <c r="A501">
        <v>129991301</v>
      </c>
      <c r="B501" s="2">
        <v>46171.833333333336</v>
      </c>
      <c r="C501" t="s">
        <v>6</v>
      </c>
      <c r="D501" t="s">
        <v>19</v>
      </c>
      <c r="E501" t="s">
        <v>65</v>
      </c>
      <c r="F501" t="s">
        <v>69</v>
      </c>
      <c r="G501">
        <v>1.85</v>
      </c>
      <c r="H501">
        <v>1.96</v>
      </c>
      <c r="I501" s="2">
        <v>46168.944224537037</v>
      </c>
    </row>
    <row r="502" spans="1:9" x14ac:dyDescent="0.25">
      <c r="A502">
        <v>129991301</v>
      </c>
      <c r="B502" s="2">
        <v>46171.833333333336</v>
      </c>
      <c r="C502" t="s">
        <v>6</v>
      </c>
      <c r="D502" t="s">
        <v>19</v>
      </c>
      <c r="E502" t="s">
        <v>71</v>
      </c>
      <c r="F502" t="s">
        <v>69</v>
      </c>
      <c r="G502">
        <v>1.85</v>
      </c>
      <c r="H502">
        <v>1.95</v>
      </c>
      <c r="I502" s="2">
        <v>46168.944664351853</v>
      </c>
    </row>
    <row r="503" spans="1:9" x14ac:dyDescent="0.25">
      <c r="A503">
        <v>129991301</v>
      </c>
      <c r="B503" s="2">
        <v>46171.833333333336</v>
      </c>
      <c r="C503" t="s">
        <v>6</v>
      </c>
      <c r="D503" t="s">
        <v>19</v>
      </c>
      <c r="E503" t="s">
        <v>67</v>
      </c>
      <c r="F503" t="s">
        <v>69</v>
      </c>
      <c r="G503">
        <v>1.85</v>
      </c>
      <c r="H503">
        <v>1.95</v>
      </c>
      <c r="I503" s="2">
        <v>46168.944884259261</v>
      </c>
    </row>
    <row r="504" spans="1:9" x14ac:dyDescent="0.25">
      <c r="A504">
        <v>129991301</v>
      </c>
      <c r="B504" s="2">
        <v>46171.833333333336</v>
      </c>
      <c r="C504" t="s">
        <v>6</v>
      </c>
      <c r="D504" t="s">
        <v>19</v>
      </c>
      <c r="E504" t="s">
        <v>61</v>
      </c>
      <c r="F504" t="s">
        <v>69</v>
      </c>
      <c r="G504">
        <v>1.87</v>
      </c>
      <c r="H504">
        <v>1.98</v>
      </c>
      <c r="I504" s="2">
        <v>46168.944224537037</v>
      </c>
    </row>
    <row r="505" spans="1:9" x14ac:dyDescent="0.25">
      <c r="A505">
        <v>129991301</v>
      </c>
      <c r="B505" s="2">
        <v>46171.833333333336</v>
      </c>
      <c r="C505" t="s">
        <v>6</v>
      </c>
      <c r="D505" t="s">
        <v>19</v>
      </c>
      <c r="E505" t="s">
        <v>62</v>
      </c>
      <c r="F505" t="s">
        <v>69</v>
      </c>
      <c r="G505">
        <v>1.85</v>
      </c>
      <c r="H505">
        <v>1.95</v>
      </c>
      <c r="I505" s="2">
        <v>46168.944675925923</v>
      </c>
    </row>
    <row r="506" spans="1:9" x14ac:dyDescent="0.25">
      <c r="A506">
        <v>129991301</v>
      </c>
      <c r="B506" s="2">
        <v>46171.833333333336</v>
      </c>
      <c r="C506" t="s">
        <v>6</v>
      </c>
      <c r="D506" t="s">
        <v>19</v>
      </c>
      <c r="E506" t="s">
        <v>72</v>
      </c>
      <c r="F506" t="s">
        <v>69</v>
      </c>
      <c r="G506">
        <v>1.85</v>
      </c>
      <c r="H506">
        <v>1.95</v>
      </c>
      <c r="I506" s="2">
        <v>46168.944664351853</v>
      </c>
    </row>
    <row r="507" spans="1:9" x14ac:dyDescent="0.25">
      <c r="A507">
        <v>129991301</v>
      </c>
      <c r="B507" s="2">
        <v>46171.833333333336</v>
      </c>
      <c r="C507" t="s">
        <v>6</v>
      </c>
      <c r="D507" t="s">
        <v>19</v>
      </c>
      <c r="E507" t="s">
        <v>73</v>
      </c>
      <c r="F507" t="s">
        <v>69</v>
      </c>
      <c r="G507">
        <v>1.84</v>
      </c>
      <c r="H507">
        <v>1.94</v>
      </c>
      <c r="I507" s="2">
        <v>46168.944675925923</v>
      </c>
    </row>
    <row r="508" spans="1:9" x14ac:dyDescent="0.25">
      <c r="A508">
        <v>129991302</v>
      </c>
      <c r="B508" s="2">
        <v>46172.625</v>
      </c>
      <c r="C508" t="s">
        <v>17</v>
      </c>
      <c r="D508" t="s">
        <v>18</v>
      </c>
      <c r="E508" t="s">
        <v>64</v>
      </c>
      <c r="F508" t="s">
        <v>69</v>
      </c>
      <c r="G508">
        <v>1.18</v>
      </c>
      <c r="H508">
        <v>4.2</v>
      </c>
      <c r="I508" s="2">
        <v>46168.944895833331</v>
      </c>
    </row>
    <row r="509" spans="1:9" x14ac:dyDescent="0.25">
      <c r="A509">
        <v>129991302</v>
      </c>
      <c r="B509" s="2">
        <v>46172.625</v>
      </c>
      <c r="C509" t="s">
        <v>17</v>
      </c>
      <c r="D509" t="s">
        <v>18</v>
      </c>
      <c r="E509" t="s">
        <v>66</v>
      </c>
      <c r="F509" t="s">
        <v>69</v>
      </c>
      <c r="G509">
        <v>1.22</v>
      </c>
      <c r="H509">
        <v>4.25</v>
      </c>
      <c r="I509" s="2">
        <v>46168.944224537037</v>
      </c>
    </row>
    <row r="510" spans="1:9" x14ac:dyDescent="0.25">
      <c r="A510">
        <v>129991302</v>
      </c>
      <c r="B510" s="2">
        <v>46172.625</v>
      </c>
      <c r="C510" t="s">
        <v>17</v>
      </c>
      <c r="D510" t="s">
        <v>18</v>
      </c>
      <c r="E510" t="s">
        <v>63</v>
      </c>
      <c r="F510" t="s">
        <v>69</v>
      </c>
      <c r="G510">
        <v>1.22</v>
      </c>
      <c r="H510">
        <v>4.3</v>
      </c>
      <c r="I510" s="2">
        <v>46168.944664351853</v>
      </c>
    </row>
    <row r="511" spans="1:9" x14ac:dyDescent="0.25">
      <c r="A511">
        <v>129991302</v>
      </c>
      <c r="B511" s="2">
        <v>46172.625</v>
      </c>
      <c r="C511" t="s">
        <v>17</v>
      </c>
      <c r="D511" t="s">
        <v>18</v>
      </c>
      <c r="E511" t="s">
        <v>70</v>
      </c>
      <c r="F511" t="s">
        <v>69</v>
      </c>
      <c r="G511">
        <v>1.22</v>
      </c>
      <c r="H511">
        <v>4.25</v>
      </c>
      <c r="I511" s="2">
        <v>46168.944884259261</v>
      </c>
    </row>
    <row r="512" spans="1:9" x14ac:dyDescent="0.25">
      <c r="A512">
        <v>129991302</v>
      </c>
      <c r="B512" s="2">
        <v>46172.625</v>
      </c>
      <c r="C512" t="s">
        <v>17</v>
      </c>
      <c r="D512" t="s">
        <v>18</v>
      </c>
      <c r="E512" t="s">
        <v>65</v>
      </c>
      <c r="F512" t="s">
        <v>69</v>
      </c>
      <c r="G512">
        <v>1.22</v>
      </c>
      <c r="H512">
        <v>4.25</v>
      </c>
      <c r="I512" s="2">
        <v>46168.944224537037</v>
      </c>
    </row>
    <row r="513" spans="1:9" x14ac:dyDescent="0.25">
      <c r="A513">
        <v>129991302</v>
      </c>
      <c r="B513" s="2">
        <v>46172.625</v>
      </c>
      <c r="C513" t="s">
        <v>17</v>
      </c>
      <c r="D513" t="s">
        <v>18</v>
      </c>
      <c r="E513" t="s">
        <v>71</v>
      </c>
      <c r="F513" t="s">
        <v>69</v>
      </c>
      <c r="G513">
        <v>1.22</v>
      </c>
      <c r="H513">
        <v>4.3</v>
      </c>
      <c r="I513" s="2">
        <v>46168.944664351853</v>
      </c>
    </row>
    <row r="514" spans="1:9" x14ac:dyDescent="0.25">
      <c r="A514">
        <v>129991302</v>
      </c>
      <c r="B514" s="2">
        <v>46172.625</v>
      </c>
      <c r="C514" t="s">
        <v>17</v>
      </c>
      <c r="D514" t="s">
        <v>18</v>
      </c>
      <c r="E514" t="s">
        <v>67</v>
      </c>
      <c r="F514" t="s">
        <v>69</v>
      </c>
      <c r="G514">
        <v>1.22</v>
      </c>
      <c r="H514">
        <v>4.0999999999999996</v>
      </c>
      <c r="I514" s="2">
        <v>46168.944884259261</v>
      </c>
    </row>
    <row r="515" spans="1:9" x14ac:dyDescent="0.25">
      <c r="A515">
        <v>129991302</v>
      </c>
      <c r="B515" s="2">
        <v>46172.625</v>
      </c>
      <c r="C515" t="s">
        <v>17</v>
      </c>
      <c r="D515" t="s">
        <v>18</v>
      </c>
      <c r="E515" t="s">
        <v>61</v>
      </c>
      <c r="F515" t="s">
        <v>69</v>
      </c>
      <c r="G515">
        <v>1.22</v>
      </c>
      <c r="H515">
        <v>4.3499999999999996</v>
      </c>
      <c r="I515" s="2">
        <v>46168.944224537037</v>
      </c>
    </row>
    <row r="516" spans="1:9" x14ac:dyDescent="0.25">
      <c r="A516">
        <v>129991302</v>
      </c>
      <c r="B516" s="2">
        <v>46172.625</v>
      </c>
      <c r="C516" t="s">
        <v>17</v>
      </c>
      <c r="D516" t="s">
        <v>18</v>
      </c>
      <c r="E516" t="s">
        <v>62</v>
      </c>
      <c r="F516" t="s">
        <v>69</v>
      </c>
      <c r="G516">
        <v>1.22</v>
      </c>
      <c r="H516">
        <v>4.3</v>
      </c>
      <c r="I516" s="2">
        <v>46168.944675925923</v>
      </c>
    </row>
    <row r="517" spans="1:9" x14ac:dyDescent="0.25">
      <c r="A517">
        <v>129991302</v>
      </c>
      <c r="B517" s="2">
        <v>46172.625</v>
      </c>
      <c r="C517" t="s">
        <v>17</v>
      </c>
      <c r="D517" t="s">
        <v>18</v>
      </c>
      <c r="E517" t="s">
        <v>72</v>
      </c>
      <c r="F517" t="s">
        <v>69</v>
      </c>
      <c r="G517">
        <v>1.22</v>
      </c>
      <c r="H517">
        <v>4.3499999999999996</v>
      </c>
      <c r="I517" s="2">
        <v>46168.944664351853</v>
      </c>
    </row>
    <row r="518" spans="1:9" x14ac:dyDescent="0.25">
      <c r="A518">
        <v>129991302</v>
      </c>
      <c r="B518" s="2">
        <v>46172.625</v>
      </c>
      <c r="C518" t="s">
        <v>17</v>
      </c>
      <c r="D518" t="s">
        <v>18</v>
      </c>
      <c r="E518" t="s">
        <v>73</v>
      </c>
      <c r="F518" t="s">
        <v>69</v>
      </c>
      <c r="G518">
        <v>1.21</v>
      </c>
      <c r="H518">
        <v>4.3</v>
      </c>
      <c r="I518" s="2">
        <v>46168.944675925923</v>
      </c>
    </row>
    <row r="519" spans="1:9" x14ac:dyDescent="0.25">
      <c r="A519">
        <v>129991303</v>
      </c>
      <c r="B519" s="2">
        <v>46172.729166666664</v>
      </c>
      <c r="C519" t="s">
        <v>5</v>
      </c>
      <c r="D519" t="s">
        <v>8</v>
      </c>
      <c r="E519" t="s">
        <v>64</v>
      </c>
      <c r="F519" t="s">
        <v>69</v>
      </c>
      <c r="G519">
        <v>1.18</v>
      </c>
      <c r="H519">
        <v>2.04</v>
      </c>
      <c r="I519" s="2">
        <v>46168.944895833331</v>
      </c>
    </row>
    <row r="520" spans="1:9" x14ac:dyDescent="0.25">
      <c r="A520">
        <v>129991303</v>
      </c>
      <c r="B520" s="2">
        <v>46172.729166666664</v>
      </c>
      <c r="C520" t="s">
        <v>5</v>
      </c>
      <c r="D520" t="s">
        <v>8</v>
      </c>
      <c r="E520" t="s">
        <v>66</v>
      </c>
      <c r="F520" t="s">
        <v>69</v>
      </c>
      <c r="G520">
        <v>1.57</v>
      </c>
      <c r="H520">
        <v>2.4</v>
      </c>
      <c r="I520" s="2">
        <v>46168.944224537037</v>
      </c>
    </row>
    <row r="521" spans="1:9" x14ac:dyDescent="0.25">
      <c r="A521">
        <v>129991303</v>
      </c>
      <c r="B521" s="2">
        <v>46172.729166666664</v>
      </c>
      <c r="C521" t="s">
        <v>5</v>
      </c>
      <c r="D521" t="s">
        <v>8</v>
      </c>
      <c r="E521" t="s">
        <v>63</v>
      </c>
      <c r="F521" t="s">
        <v>69</v>
      </c>
      <c r="G521">
        <v>1.57</v>
      </c>
      <c r="H521">
        <v>2.4</v>
      </c>
      <c r="I521" s="2">
        <v>46168.944664351853</v>
      </c>
    </row>
    <row r="522" spans="1:9" x14ac:dyDescent="0.25">
      <c r="A522">
        <v>129991303</v>
      </c>
      <c r="B522" s="2">
        <v>46172.729166666664</v>
      </c>
      <c r="C522" t="s">
        <v>5</v>
      </c>
      <c r="D522" t="s">
        <v>8</v>
      </c>
      <c r="E522" t="s">
        <v>70</v>
      </c>
      <c r="F522" t="s">
        <v>69</v>
      </c>
      <c r="G522">
        <v>1.57</v>
      </c>
      <c r="H522">
        <v>2.4</v>
      </c>
      <c r="I522" s="2">
        <v>46168.944884259261</v>
      </c>
    </row>
    <row r="523" spans="1:9" x14ac:dyDescent="0.25">
      <c r="A523">
        <v>129991303</v>
      </c>
      <c r="B523" s="2">
        <v>46172.729166666664</v>
      </c>
      <c r="C523" t="s">
        <v>5</v>
      </c>
      <c r="D523" t="s">
        <v>8</v>
      </c>
      <c r="E523" t="s">
        <v>65</v>
      </c>
      <c r="F523" t="s">
        <v>69</v>
      </c>
      <c r="G523">
        <v>1.57</v>
      </c>
      <c r="H523">
        <v>2.4</v>
      </c>
      <c r="I523" s="2">
        <v>46168.944224537037</v>
      </c>
    </row>
    <row r="524" spans="1:9" x14ac:dyDescent="0.25">
      <c r="A524">
        <v>129991303</v>
      </c>
      <c r="B524" s="2">
        <v>46172.729166666664</v>
      </c>
      <c r="C524" t="s">
        <v>5</v>
      </c>
      <c r="D524" t="s">
        <v>8</v>
      </c>
      <c r="E524" t="s">
        <v>71</v>
      </c>
      <c r="F524" t="s">
        <v>69</v>
      </c>
      <c r="G524">
        <v>1.57</v>
      </c>
      <c r="H524">
        <v>2.4</v>
      </c>
      <c r="I524" s="2">
        <v>46168.944664351853</v>
      </c>
    </row>
    <row r="525" spans="1:9" x14ac:dyDescent="0.25">
      <c r="A525">
        <v>129991303</v>
      </c>
      <c r="B525" s="2">
        <v>46172.729166666664</v>
      </c>
      <c r="C525" t="s">
        <v>5</v>
      </c>
      <c r="D525" t="s">
        <v>8</v>
      </c>
      <c r="E525" t="s">
        <v>67</v>
      </c>
      <c r="F525" t="s">
        <v>69</v>
      </c>
      <c r="G525">
        <v>1.55</v>
      </c>
      <c r="H525">
        <v>2.4</v>
      </c>
      <c r="I525" s="2">
        <v>46168.944884259261</v>
      </c>
    </row>
    <row r="526" spans="1:9" x14ac:dyDescent="0.25">
      <c r="A526">
        <v>129991303</v>
      </c>
      <c r="B526" s="2">
        <v>46172.729166666664</v>
      </c>
      <c r="C526" t="s">
        <v>5</v>
      </c>
      <c r="D526" t="s">
        <v>8</v>
      </c>
      <c r="E526" t="s">
        <v>61</v>
      </c>
      <c r="F526" t="s">
        <v>69</v>
      </c>
      <c r="G526">
        <v>1.56</v>
      </c>
      <c r="H526">
        <v>2.44</v>
      </c>
      <c r="I526" s="2">
        <v>46168.944224537037</v>
      </c>
    </row>
    <row r="527" spans="1:9" x14ac:dyDescent="0.25">
      <c r="A527">
        <v>129991303</v>
      </c>
      <c r="B527" s="2">
        <v>46172.729166666664</v>
      </c>
      <c r="C527" t="s">
        <v>5</v>
      </c>
      <c r="D527" t="s">
        <v>8</v>
      </c>
      <c r="E527" t="s">
        <v>62</v>
      </c>
      <c r="F527" t="s">
        <v>69</v>
      </c>
      <c r="G527">
        <v>1.58</v>
      </c>
      <c r="H527">
        <v>2.4</v>
      </c>
      <c r="I527" s="2">
        <v>46168.944675925923</v>
      </c>
    </row>
    <row r="528" spans="1:9" x14ac:dyDescent="0.25">
      <c r="A528">
        <v>129991303</v>
      </c>
      <c r="B528" s="2">
        <v>46172.729166666664</v>
      </c>
      <c r="C528" t="s">
        <v>5</v>
      </c>
      <c r="D528" t="s">
        <v>8</v>
      </c>
      <c r="E528" t="s">
        <v>72</v>
      </c>
      <c r="F528" t="s">
        <v>69</v>
      </c>
      <c r="G528">
        <v>1.66</v>
      </c>
      <c r="H528">
        <v>2.23</v>
      </c>
      <c r="I528" s="2">
        <v>46168.944664351853</v>
      </c>
    </row>
    <row r="529" spans="1:9" x14ac:dyDescent="0.25">
      <c r="A529">
        <v>129991303</v>
      </c>
      <c r="B529" s="2">
        <v>46172.729166666664</v>
      </c>
      <c r="C529" t="s">
        <v>5</v>
      </c>
      <c r="D529" t="s">
        <v>8</v>
      </c>
      <c r="E529" t="s">
        <v>73</v>
      </c>
      <c r="F529" t="s">
        <v>69</v>
      </c>
      <c r="G529">
        <v>1.65</v>
      </c>
      <c r="H529">
        <v>2.2000000000000002</v>
      </c>
      <c r="I529" s="2">
        <v>46168.944675925923</v>
      </c>
    </row>
    <row r="530" spans="1:9" x14ac:dyDescent="0.25">
      <c r="A530">
        <v>129991304</v>
      </c>
      <c r="B530" s="2">
        <v>46172.815972222219</v>
      </c>
      <c r="C530" t="s">
        <v>15</v>
      </c>
      <c r="D530" t="s">
        <v>10</v>
      </c>
      <c r="E530" t="s">
        <v>64</v>
      </c>
      <c r="F530" t="s">
        <v>69</v>
      </c>
      <c r="G530">
        <v>1.97</v>
      </c>
      <c r="H530">
        <v>1.84</v>
      </c>
      <c r="I530" s="2">
        <v>46168.944895833331</v>
      </c>
    </row>
    <row r="531" spans="1:9" x14ac:dyDescent="0.25">
      <c r="A531">
        <v>129991304</v>
      </c>
      <c r="B531" s="2">
        <v>46172.815972222219</v>
      </c>
      <c r="C531" t="s">
        <v>15</v>
      </c>
      <c r="D531" t="s">
        <v>10</v>
      </c>
      <c r="E531" t="s">
        <v>66</v>
      </c>
      <c r="F531" t="s">
        <v>69</v>
      </c>
      <c r="G531">
        <v>2.1</v>
      </c>
      <c r="H531">
        <v>1.75</v>
      </c>
      <c r="I531" s="2">
        <v>46168.944224537037</v>
      </c>
    </row>
    <row r="532" spans="1:9" x14ac:dyDescent="0.25">
      <c r="A532">
        <v>129991304</v>
      </c>
      <c r="B532" s="2">
        <v>46172.815972222219</v>
      </c>
      <c r="C532" t="s">
        <v>15</v>
      </c>
      <c r="D532" t="s">
        <v>10</v>
      </c>
      <c r="E532" t="s">
        <v>63</v>
      </c>
      <c r="F532" t="s">
        <v>69</v>
      </c>
      <c r="G532">
        <v>2.02</v>
      </c>
      <c r="H532">
        <v>1.8</v>
      </c>
      <c r="I532" s="2">
        <v>46168.944664351853</v>
      </c>
    </row>
    <row r="533" spans="1:9" x14ac:dyDescent="0.25">
      <c r="A533">
        <v>129991304</v>
      </c>
      <c r="B533" s="2">
        <v>46172.815972222219</v>
      </c>
      <c r="C533" t="s">
        <v>15</v>
      </c>
      <c r="D533" t="s">
        <v>10</v>
      </c>
      <c r="E533" t="s">
        <v>70</v>
      </c>
      <c r="F533" t="s">
        <v>69</v>
      </c>
      <c r="G533">
        <v>2.0499999999999998</v>
      </c>
      <c r="H533">
        <v>1.77</v>
      </c>
      <c r="I533" s="2">
        <v>46168.944884259261</v>
      </c>
    </row>
    <row r="534" spans="1:9" x14ac:dyDescent="0.25">
      <c r="A534">
        <v>129991304</v>
      </c>
      <c r="B534" s="2">
        <v>46172.815972222219</v>
      </c>
      <c r="C534" t="s">
        <v>15</v>
      </c>
      <c r="D534" t="s">
        <v>10</v>
      </c>
      <c r="E534" t="s">
        <v>65</v>
      </c>
      <c r="F534" t="s">
        <v>69</v>
      </c>
      <c r="G534">
        <v>2.0499999999999998</v>
      </c>
      <c r="H534">
        <v>1.77</v>
      </c>
      <c r="I534" s="2">
        <v>46168.944224537037</v>
      </c>
    </row>
    <row r="535" spans="1:9" x14ac:dyDescent="0.25">
      <c r="A535">
        <v>129991304</v>
      </c>
      <c r="B535" s="2">
        <v>46172.815972222219</v>
      </c>
      <c r="C535" t="s">
        <v>15</v>
      </c>
      <c r="D535" t="s">
        <v>10</v>
      </c>
      <c r="E535" t="s">
        <v>71</v>
      </c>
      <c r="F535" t="s">
        <v>69</v>
      </c>
      <c r="G535">
        <v>2.0499999999999998</v>
      </c>
      <c r="H535">
        <v>1.77</v>
      </c>
      <c r="I535" s="2">
        <v>46168.944664351853</v>
      </c>
    </row>
    <row r="536" spans="1:9" x14ac:dyDescent="0.25">
      <c r="A536">
        <v>129991304</v>
      </c>
      <c r="B536" s="2">
        <v>46172.815972222219</v>
      </c>
      <c r="C536" t="s">
        <v>15</v>
      </c>
      <c r="D536" t="s">
        <v>10</v>
      </c>
      <c r="E536" t="s">
        <v>67</v>
      </c>
      <c r="F536" t="s">
        <v>69</v>
      </c>
      <c r="G536">
        <v>2.0499999999999998</v>
      </c>
      <c r="H536">
        <v>1.77</v>
      </c>
      <c r="I536" s="2">
        <v>46168.944884259261</v>
      </c>
    </row>
    <row r="537" spans="1:9" x14ac:dyDescent="0.25">
      <c r="A537">
        <v>129991304</v>
      </c>
      <c r="B537" s="2">
        <v>46172.815972222219</v>
      </c>
      <c r="C537" t="s">
        <v>15</v>
      </c>
      <c r="D537" t="s">
        <v>10</v>
      </c>
      <c r="E537" t="s">
        <v>61</v>
      </c>
      <c r="F537" t="s">
        <v>69</v>
      </c>
      <c r="G537">
        <v>2.04</v>
      </c>
      <c r="H537">
        <v>1.81</v>
      </c>
      <c r="I537" s="2">
        <v>46168.944224537037</v>
      </c>
    </row>
    <row r="538" spans="1:9" x14ac:dyDescent="0.25">
      <c r="A538">
        <v>129991304</v>
      </c>
      <c r="B538" s="2">
        <v>46172.815972222219</v>
      </c>
      <c r="C538" t="s">
        <v>15</v>
      </c>
      <c r="D538" t="s">
        <v>10</v>
      </c>
      <c r="E538" t="s">
        <v>62</v>
      </c>
      <c r="F538" t="s">
        <v>69</v>
      </c>
      <c r="G538">
        <v>2.0499999999999998</v>
      </c>
      <c r="H538">
        <v>1.77</v>
      </c>
      <c r="I538" s="2">
        <v>46168.944675925923</v>
      </c>
    </row>
    <row r="539" spans="1:9" x14ac:dyDescent="0.25">
      <c r="A539">
        <v>129991304</v>
      </c>
      <c r="B539" s="2">
        <v>46172.815972222219</v>
      </c>
      <c r="C539" t="s">
        <v>15</v>
      </c>
      <c r="D539" t="s">
        <v>10</v>
      </c>
      <c r="E539" t="s">
        <v>72</v>
      </c>
      <c r="F539" t="s">
        <v>69</v>
      </c>
      <c r="G539">
        <v>2.0499999999999998</v>
      </c>
      <c r="H539">
        <v>1.77</v>
      </c>
      <c r="I539" s="2">
        <v>46168.944664351853</v>
      </c>
    </row>
    <row r="540" spans="1:9" x14ac:dyDescent="0.25">
      <c r="A540">
        <v>129991304</v>
      </c>
      <c r="B540" s="2">
        <v>46172.815972222219</v>
      </c>
      <c r="C540" t="s">
        <v>15</v>
      </c>
      <c r="D540" t="s">
        <v>10</v>
      </c>
      <c r="E540" t="s">
        <v>73</v>
      </c>
      <c r="F540" t="s">
        <v>69</v>
      </c>
      <c r="G540">
        <v>2.04</v>
      </c>
      <c r="H540">
        <v>1.76</v>
      </c>
      <c r="I540" s="2">
        <v>46168.944675925923</v>
      </c>
    </row>
    <row r="541" spans="1:9" x14ac:dyDescent="0.25">
      <c r="A541">
        <v>129991305</v>
      </c>
      <c r="B541" s="2">
        <v>46173.583333333336</v>
      </c>
      <c r="C541" t="s">
        <v>9</v>
      </c>
      <c r="D541" t="s">
        <v>11</v>
      </c>
      <c r="E541" t="s">
        <v>64</v>
      </c>
      <c r="F541" t="s">
        <v>69</v>
      </c>
      <c r="G541">
        <v>1.1399999999999999</v>
      </c>
      <c r="H541">
        <v>7.2</v>
      </c>
      <c r="I541" s="2">
        <v>46168.944895833331</v>
      </c>
    </row>
    <row r="542" spans="1:9" x14ac:dyDescent="0.25">
      <c r="A542">
        <v>129991305</v>
      </c>
      <c r="B542" s="2">
        <v>46173.583333333336</v>
      </c>
      <c r="C542" t="s">
        <v>9</v>
      </c>
      <c r="D542" t="s">
        <v>11</v>
      </c>
      <c r="E542" t="s">
        <v>66</v>
      </c>
      <c r="F542" t="s">
        <v>69</v>
      </c>
      <c r="G542">
        <v>1.1299999999999999</v>
      </c>
      <c r="H542">
        <v>6</v>
      </c>
      <c r="I542" s="2">
        <v>46168.944224537037</v>
      </c>
    </row>
    <row r="543" spans="1:9" x14ac:dyDescent="0.25">
      <c r="A543">
        <v>129991305</v>
      </c>
      <c r="B543" s="2">
        <v>46173.583333333336</v>
      </c>
      <c r="C543" t="s">
        <v>9</v>
      </c>
      <c r="D543" t="s">
        <v>11</v>
      </c>
      <c r="E543" t="s">
        <v>63</v>
      </c>
      <c r="F543" t="s">
        <v>69</v>
      </c>
      <c r="G543">
        <v>1.1200000000000001</v>
      </c>
      <c r="H543">
        <v>6.25</v>
      </c>
      <c r="I543" s="2">
        <v>46168.944664351853</v>
      </c>
    </row>
    <row r="544" spans="1:9" x14ac:dyDescent="0.25">
      <c r="A544">
        <v>129991305</v>
      </c>
      <c r="B544" s="2">
        <v>46173.583333333336</v>
      </c>
      <c r="C544" t="s">
        <v>9</v>
      </c>
      <c r="D544" t="s">
        <v>11</v>
      </c>
      <c r="E544" t="s">
        <v>70</v>
      </c>
      <c r="F544" t="s">
        <v>69</v>
      </c>
      <c r="G544">
        <v>1.1200000000000001</v>
      </c>
      <c r="H544">
        <v>6.5</v>
      </c>
      <c r="I544" s="2">
        <v>46168.944884259261</v>
      </c>
    </row>
    <row r="545" spans="1:9" x14ac:dyDescent="0.25">
      <c r="A545">
        <v>129991305</v>
      </c>
      <c r="B545" s="2">
        <v>46173.583333333336</v>
      </c>
      <c r="C545" t="s">
        <v>9</v>
      </c>
      <c r="D545" t="s">
        <v>11</v>
      </c>
      <c r="E545" t="s">
        <v>65</v>
      </c>
      <c r="F545" t="s">
        <v>69</v>
      </c>
      <c r="G545">
        <v>1.1200000000000001</v>
      </c>
      <c r="H545">
        <v>6.5</v>
      </c>
      <c r="I545" s="2">
        <v>46168.944224537037</v>
      </c>
    </row>
    <row r="546" spans="1:9" x14ac:dyDescent="0.25">
      <c r="A546">
        <v>129991305</v>
      </c>
      <c r="B546" s="2">
        <v>46173.583333333336</v>
      </c>
      <c r="C546" t="s">
        <v>9</v>
      </c>
      <c r="D546" t="s">
        <v>11</v>
      </c>
      <c r="E546" t="s">
        <v>71</v>
      </c>
      <c r="F546" t="s">
        <v>69</v>
      </c>
      <c r="G546">
        <v>1.1200000000000001</v>
      </c>
      <c r="H546">
        <v>6.25</v>
      </c>
      <c r="I546" s="2">
        <v>46168.944664351853</v>
      </c>
    </row>
    <row r="547" spans="1:9" x14ac:dyDescent="0.25">
      <c r="A547">
        <v>129991305</v>
      </c>
      <c r="B547" s="2">
        <v>46173.583333333336</v>
      </c>
      <c r="C547" t="s">
        <v>9</v>
      </c>
      <c r="D547" t="s">
        <v>11</v>
      </c>
      <c r="E547" t="s">
        <v>67</v>
      </c>
      <c r="F547" t="s">
        <v>69</v>
      </c>
      <c r="G547">
        <v>1.1000000000000001</v>
      </c>
      <c r="H547">
        <v>6.5</v>
      </c>
      <c r="I547" s="2">
        <v>46168.944884259261</v>
      </c>
    </row>
    <row r="548" spans="1:9" x14ac:dyDescent="0.25">
      <c r="A548">
        <v>129991305</v>
      </c>
      <c r="B548" s="2">
        <v>46173.583333333336</v>
      </c>
      <c r="C548" t="s">
        <v>9</v>
      </c>
      <c r="D548" t="s">
        <v>11</v>
      </c>
      <c r="E548" t="s">
        <v>61</v>
      </c>
      <c r="F548" t="s">
        <v>69</v>
      </c>
      <c r="G548">
        <v>1.1100000000000001</v>
      </c>
      <c r="H548">
        <v>6.7</v>
      </c>
      <c r="I548" s="2">
        <v>46168.944224537037</v>
      </c>
    </row>
    <row r="549" spans="1:9" x14ac:dyDescent="0.25">
      <c r="A549">
        <v>129991305</v>
      </c>
      <c r="B549" s="2">
        <v>46173.583333333336</v>
      </c>
      <c r="C549" t="s">
        <v>9</v>
      </c>
      <c r="D549" t="s">
        <v>11</v>
      </c>
      <c r="E549" t="s">
        <v>62</v>
      </c>
      <c r="F549" t="s">
        <v>69</v>
      </c>
      <c r="G549">
        <v>1.1200000000000001</v>
      </c>
      <c r="H549">
        <v>6.2</v>
      </c>
      <c r="I549" s="2">
        <v>46168.944675925923</v>
      </c>
    </row>
    <row r="550" spans="1:9" x14ac:dyDescent="0.25">
      <c r="A550">
        <v>129991305</v>
      </c>
      <c r="B550" s="2">
        <v>46173.583333333336</v>
      </c>
      <c r="C550" t="s">
        <v>9</v>
      </c>
      <c r="D550" t="s">
        <v>11</v>
      </c>
      <c r="E550" t="s">
        <v>72</v>
      </c>
      <c r="F550" t="s">
        <v>69</v>
      </c>
      <c r="G550">
        <v>1.1399999999999999</v>
      </c>
      <c r="H550">
        <v>5.8</v>
      </c>
      <c r="I550" s="2">
        <v>46168.944664351853</v>
      </c>
    </row>
    <row r="551" spans="1:9" x14ac:dyDescent="0.25">
      <c r="A551">
        <v>129991305</v>
      </c>
      <c r="B551" s="2">
        <v>46173.583333333336</v>
      </c>
      <c r="C551" t="s">
        <v>9</v>
      </c>
      <c r="D551" t="s">
        <v>11</v>
      </c>
      <c r="E551" t="s">
        <v>73</v>
      </c>
      <c r="F551" t="s">
        <v>69</v>
      </c>
      <c r="G551">
        <v>1.1299999999999999</v>
      </c>
      <c r="H551">
        <v>5.75</v>
      </c>
      <c r="I551" s="2">
        <v>46168.944675925923</v>
      </c>
    </row>
    <row r="552" spans="1:9" x14ac:dyDescent="0.25">
      <c r="A552">
        <v>129991306</v>
      </c>
      <c r="B552" s="2">
        <v>46173.670138888891</v>
      </c>
      <c r="C552" t="s">
        <v>4</v>
      </c>
      <c r="D552" t="s">
        <v>7</v>
      </c>
      <c r="E552" t="s">
        <v>64</v>
      </c>
      <c r="F552" t="s">
        <v>69</v>
      </c>
      <c r="G552">
        <v>1.74</v>
      </c>
      <c r="H552">
        <v>2.2000000000000002</v>
      </c>
      <c r="I552" s="2">
        <v>46168.944895833331</v>
      </c>
    </row>
    <row r="553" spans="1:9" x14ac:dyDescent="0.25">
      <c r="A553">
        <v>129991306</v>
      </c>
      <c r="B553" s="2">
        <v>46173.670138888891</v>
      </c>
      <c r="C553" t="s">
        <v>4</v>
      </c>
      <c r="D553" t="s">
        <v>7</v>
      </c>
      <c r="E553" t="s">
        <v>66</v>
      </c>
      <c r="F553" t="s">
        <v>69</v>
      </c>
      <c r="G553">
        <v>1.7</v>
      </c>
      <c r="H553">
        <v>2.15</v>
      </c>
      <c r="I553" s="2">
        <v>46168.944224537037</v>
      </c>
    </row>
    <row r="554" spans="1:9" x14ac:dyDescent="0.25">
      <c r="A554">
        <v>129991306</v>
      </c>
      <c r="B554" s="2">
        <v>46173.670138888891</v>
      </c>
      <c r="C554" t="s">
        <v>4</v>
      </c>
      <c r="D554" t="s">
        <v>7</v>
      </c>
      <c r="E554" t="s">
        <v>63</v>
      </c>
      <c r="F554" t="s">
        <v>69</v>
      </c>
      <c r="G554">
        <v>1.65</v>
      </c>
      <c r="H554">
        <v>2.2400000000000002</v>
      </c>
      <c r="I554" s="2">
        <v>46168.944664351853</v>
      </c>
    </row>
    <row r="555" spans="1:9" x14ac:dyDescent="0.25">
      <c r="A555">
        <v>129991306</v>
      </c>
      <c r="B555" s="2">
        <v>46173.670138888891</v>
      </c>
      <c r="C555" t="s">
        <v>4</v>
      </c>
      <c r="D555" t="s">
        <v>7</v>
      </c>
      <c r="E555" t="s">
        <v>70</v>
      </c>
      <c r="F555" t="s">
        <v>69</v>
      </c>
      <c r="G555">
        <v>1.65</v>
      </c>
      <c r="H555">
        <v>2.25</v>
      </c>
      <c r="I555" s="2">
        <v>46168.944884259261</v>
      </c>
    </row>
    <row r="556" spans="1:9" x14ac:dyDescent="0.25">
      <c r="A556">
        <v>129991306</v>
      </c>
      <c r="B556" s="2">
        <v>46173.670138888891</v>
      </c>
      <c r="C556" t="s">
        <v>4</v>
      </c>
      <c r="D556" t="s">
        <v>7</v>
      </c>
      <c r="E556" t="s">
        <v>65</v>
      </c>
      <c r="F556" t="s">
        <v>69</v>
      </c>
      <c r="G556">
        <v>1.65</v>
      </c>
      <c r="H556">
        <v>2.25</v>
      </c>
      <c r="I556" s="2">
        <v>46168.944224537037</v>
      </c>
    </row>
    <row r="557" spans="1:9" x14ac:dyDescent="0.25">
      <c r="A557">
        <v>129991306</v>
      </c>
      <c r="B557" s="2">
        <v>46173.670138888891</v>
      </c>
      <c r="C557" t="s">
        <v>4</v>
      </c>
      <c r="D557" t="s">
        <v>7</v>
      </c>
      <c r="E557" t="s">
        <v>71</v>
      </c>
      <c r="F557" t="s">
        <v>69</v>
      </c>
      <c r="G557">
        <v>1.62</v>
      </c>
      <c r="H557">
        <v>2.2999999999999998</v>
      </c>
      <c r="I557" s="2">
        <v>46168.944664351853</v>
      </c>
    </row>
    <row r="558" spans="1:9" x14ac:dyDescent="0.25">
      <c r="A558">
        <v>129991306</v>
      </c>
      <c r="B558" s="2">
        <v>46173.670138888891</v>
      </c>
      <c r="C558" t="s">
        <v>4</v>
      </c>
      <c r="D558" t="s">
        <v>7</v>
      </c>
      <c r="E558" t="s">
        <v>67</v>
      </c>
      <c r="F558" t="s">
        <v>69</v>
      </c>
      <c r="G558">
        <v>1.6</v>
      </c>
      <c r="H558">
        <v>2.2999999999999998</v>
      </c>
      <c r="I558" s="2">
        <v>46168.944884259261</v>
      </c>
    </row>
    <row r="559" spans="1:9" x14ac:dyDescent="0.25">
      <c r="A559">
        <v>129991306</v>
      </c>
      <c r="B559" s="2">
        <v>46173.670138888891</v>
      </c>
      <c r="C559" t="s">
        <v>4</v>
      </c>
      <c r="D559" t="s">
        <v>7</v>
      </c>
      <c r="E559" t="s">
        <v>61</v>
      </c>
      <c r="F559" t="s">
        <v>69</v>
      </c>
      <c r="G559">
        <v>1.7</v>
      </c>
      <c r="H559">
        <v>2.15</v>
      </c>
      <c r="I559" s="2">
        <v>46168.944224537037</v>
      </c>
    </row>
    <row r="560" spans="1:9" x14ac:dyDescent="0.25">
      <c r="A560">
        <v>129991306</v>
      </c>
      <c r="B560" s="2">
        <v>46173.670138888891</v>
      </c>
      <c r="C560" t="s">
        <v>4</v>
      </c>
      <c r="D560" t="s">
        <v>7</v>
      </c>
      <c r="E560" t="s">
        <v>62</v>
      </c>
      <c r="F560" t="s">
        <v>69</v>
      </c>
      <c r="G560">
        <v>1.62</v>
      </c>
      <c r="H560">
        <v>2.2999999999999998</v>
      </c>
      <c r="I560" s="2">
        <v>46168.944675925923</v>
      </c>
    </row>
    <row r="561" spans="1:9" x14ac:dyDescent="0.25">
      <c r="A561">
        <v>129991306</v>
      </c>
      <c r="B561" s="2">
        <v>46173.670138888891</v>
      </c>
      <c r="C561" t="s">
        <v>4</v>
      </c>
      <c r="D561" t="s">
        <v>7</v>
      </c>
      <c r="E561" t="s">
        <v>72</v>
      </c>
      <c r="F561" t="s">
        <v>69</v>
      </c>
      <c r="G561">
        <v>1.66</v>
      </c>
      <c r="H561">
        <v>2.23</v>
      </c>
      <c r="I561" s="2">
        <v>46168.944664351853</v>
      </c>
    </row>
    <row r="562" spans="1:9" x14ac:dyDescent="0.25">
      <c r="A562">
        <v>129991306</v>
      </c>
      <c r="B562" s="2">
        <v>46173.670138888891</v>
      </c>
      <c r="C562" t="s">
        <v>4</v>
      </c>
      <c r="D562" t="s">
        <v>7</v>
      </c>
      <c r="E562" t="s">
        <v>73</v>
      </c>
      <c r="F562" t="s">
        <v>69</v>
      </c>
      <c r="G562">
        <v>1.65</v>
      </c>
      <c r="H562">
        <v>2.2000000000000002</v>
      </c>
      <c r="I562" s="2">
        <v>46168.944675925923</v>
      </c>
    </row>
    <row r="563" spans="1:9" x14ac:dyDescent="0.25">
      <c r="A563">
        <v>129991307</v>
      </c>
      <c r="B563" s="2">
        <v>46173.760416666664</v>
      </c>
      <c r="C563" t="s">
        <v>16</v>
      </c>
      <c r="D563" t="s">
        <v>13</v>
      </c>
      <c r="E563" t="s">
        <v>64</v>
      </c>
      <c r="F563" t="s">
        <v>69</v>
      </c>
      <c r="G563">
        <v>1.51</v>
      </c>
      <c r="H563">
        <v>2.2599999999999998</v>
      </c>
      <c r="I563" s="2">
        <v>46168.944895833331</v>
      </c>
    </row>
    <row r="564" spans="1:9" x14ac:dyDescent="0.25">
      <c r="A564">
        <v>129991307</v>
      </c>
      <c r="B564" s="2">
        <v>46173.760416666664</v>
      </c>
      <c r="C564" t="s">
        <v>16</v>
      </c>
      <c r="D564" t="s">
        <v>13</v>
      </c>
      <c r="E564" t="s">
        <v>66</v>
      </c>
      <c r="F564" t="s">
        <v>69</v>
      </c>
      <c r="G564">
        <v>1.65</v>
      </c>
      <c r="H564">
        <v>2.25</v>
      </c>
      <c r="I564" s="2">
        <v>46168.944224537037</v>
      </c>
    </row>
    <row r="565" spans="1:9" x14ac:dyDescent="0.25">
      <c r="A565">
        <v>129991307</v>
      </c>
      <c r="B565" s="2">
        <v>46173.760416666664</v>
      </c>
      <c r="C565" t="s">
        <v>16</v>
      </c>
      <c r="D565" t="s">
        <v>13</v>
      </c>
      <c r="E565" t="s">
        <v>63</v>
      </c>
      <c r="F565" t="s">
        <v>69</v>
      </c>
      <c r="G565">
        <v>1.67</v>
      </c>
      <c r="H565">
        <v>2.2000000000000002</v>
      </c>
      <c r="I565" s="2">
        <v>46168.944664351853</v>
      </c>
    </row>
    <row r="566" spans="1:9" x14ac:dyDescent="0.25">
      <c r="A566">
        <v>129991307</v>
      </c>
      <c r="B566" s="2">
        <v>46173.760416666664</v>
      </c>
      <c r="C566" t="s">
        <v>16</v>
      </c>
      <c r="D566" t="s">
        <v>13</v>
      </c>
      <c r="E566" t="s">
        <v>70</v>
      </c>
      <c r="F566" t="s">
        <v>69</v>
      </c>
      <c r="G566">
        <v>1.67</v>
      </c>
      <c r="H566">
        <v>2.2000000000000002</v>
      </c>
      <c r="I566" s="2">
        <v>46168.944884259261</v>
      </c>
    </row>
    <row r="567" spans="1:9" x14ac:dyDescent="0.25">
      <c r="A567">
        <v>129991307</v>
      </c>
      <c r="B567" s="2">
        <v>46173.760416666664</v>
      </c>
      <c r="C567" t="s">
        <v>16</v>
      </c>
      <c r="D567" t="s">
        <v>13</v>
      </c>
      <c r="E567" t="s">
        <v>65</v>
      </c>
      <c r="F567" t="s">
        <v>69</v>
      </c>
      <c r="G567">
        <v>1.67</v>
      </c>
      <c r="H567">
        <v>2.2000000000000002</v>
      </c>
      <c r="I567" s="2">
        <v>46168.944224537037</v>
      </c>
    </row>
    <row r="568" spans="1:9" x14ac:dyDescent="0.25">
      <c r="A568">
        <v>129991307</v>
      </c>
      <c r="B568" s="2">
        <v>46173.760416666664</v>
      </c>
      <c r="C568" t="s">
        <v>16</v>
      </c>
      <c r="D568" t="s">
        <v>13</v>
      </c>
      <c r="E568" t="s">
        <v>71</v>
      </c>
      <c r="F568" t="s">
        <v>69</v>
      </c>
      <c r="G568">
        <v>1.62</v>
      </c>
      <c r="H568">
        <v>2.2999999999999998</v>
      </c>
      <c r="I568" s="2">
        <v>46168.944664351853</v>
      </c>
    </row>
    <row r="569" spans="1:9" x14ac:dyDescent="0.25">
      <c r="A569">
        <v>129991307</v>
      </c>
      <c r="B569" s="2">
        <v>46173.760416666664</v>
      </c>
      <c r="C569" t="s">
        <v>16</v>
      </c>
      <c r="D569" t="s">
        <v>13</v>
      </c>
      <c r="E569" t="s">
        <v>67</v>
      </c>
      <c r="F569" t="s">
        <v>69</v>
      </c>
      <c r="G569">
        <v>1.55</v>
      </c>
      <c r="H569">
        <v>2.4</v>
      </c>
      <c r="I569" s="2">
        <v>46168.944884259261</v>
      </c>
    </row>
    <row r="570" spans="1:9" x14ac:dyDescent="0.25">
      <c r="A570">
        <v>129991307</v>
      </c>
      <c r="B570" s="2">
        <v>46173.760416666664</v>
      </c>
      <c r="C570" t="s">
        <v>16</v>
      </c>
      <c r="D570" t="s">
        <v>13</v>
      </c>
      <c r="E570" t="s">
        <v>61</v>
      </c>
      <c r="F570" t="s">
        <v>69</v>
      </c>
      <c r="G570">
        <v>1.64</v>
      </c>
      <c r="H570">
        <v>2.2599999999999998</v>
      </c>
      <c r="I570" s="2">
        <v>46168.944224537037</v>
      </c>
    </row>
    <row r="571" spans="1:9" x14ac:dyDescent="0.25">
      <c r="A571">
        <v>129991307</v>
      </c>
      <c r="B571" s="2">
        <v>46173.760416666664</v>
      </c>
      <c r="C571" t="s">
        <v>16</v>
      </c>
      <c r="D571" t="s">
        <v>13</v>
      </c>
      <c r="E571" t="s">
        <v>62</v>
      </c>
      <c r="F571" t="s">
        <v>69</v>
      </c>
      <c r="G571">
        <v>1.67</v>
      </c>
      <c r="H571">
        <v>2.2000000000000002</v>
      </c>
      <c r="I571" s="2">
        <v>46168.944675925923</v>
      </c>
    </row>
    <row r="572" spans="1:9" x14ac:dyDescent="0.25">
      <c r="A572">
        <v>129991307</v>
      </c>
      <c r="B572" s="2">
        <v>46173.760416666664</v>
      </c>
      <c r="C572" t="s">
        <v>16</v>
      </c>
      <c r="D572" t="s">
        <v>13</v>
      </c>
      <c r="E572" t="s">
        <v>72</v>
      </c>
      <c r="F572" t="s">
        <v>69</v>
      </c>
      <c r="G572">
        <v>1.6</v>
      </c>
      <c r="H572">
        <v>2.35</v>
      </c>
      <c r="I572" s="2">
        <v>46168.944664351853</v>
      </c>
    </row>
    <row r="573" spans="1:9" x14ac:dyDescent="0.25">
      <c r="A573">
        <v>129991307</v>
      </c>
      <c r="B573" s="2">
        <v>46173.760416666664</v>
      </c>
      <c r="C573" t="s">
        <v>16</v>
      </c>
      <c r="D573" t="s">
        <v>13</v>
      </c>
      <c r="E573" t="s">
        <v>73</v>
      </c>
      <c r="F573" t="s">
        <v>69</v>
      </c>
      <c r="G573">
        <v>1.58</v>
      </c>
      <c r="H573">
        <v>2.33</v>
      </c>
      <c r="I573" s="2">
        <v>46168.944675925923</v>
      </c>
    </row>
    <row r="574" spans="1:9" x14ac:dyDescent="0.25">
      <c r="A574">
        <v>129991401</v>
      </c>
      <c r="B574" s="2">
        <v>46177.826388888891</v>
      </c>
      <c r="C574" t="s">
        <v>19</v>
      </c>
      <c r="D574" t="s">
        <v>14</v>
      </c>
      <c r="E574" t="s">
        <v>61</v>
      </c>
      <c r="F574" t="s">
        <v>69</v>
      </c>
      <c r="G574">
        <v>1.63</v>
      </c>
      <c r="H574">
        <v>2.2799999999999998</v>
      </c>
      <c r="I574" s="2">
        <v>46175.90185185185</v>
      </c>
    </row>
    <row r="575" spans="1:9" x14ac:dyDescent="0.25">
      <c r="A575">
        <v>129991401</v>
      </c>
      <c r="B575" s="2">
        <v>46177.826388888891</v>
      </c>
      <c r="C575" t="s">
        <v>19</v>
      </c>
      <c r="D575" t="s">
        <v>14</v>
      </c>
      <c r="E575" t="s">
        <v>66</v>
      </c>
      <c r="F575" t="s">
        <v>69</v>
      </c>
      <c r="G575">
        <v>1.57</v>
      </c>
      <c r="H575">
        <v>2.4</v>
      </c>
      <c r="I575" s="2">
        <v>46175.90184027778</v>
      </c>
    </row>
    <row r="576" spans="1:9" x14ac:dyDescent="0.25">
      <c r="A576">
        <v>129991401</v>
      </c>
      <c r="B576" s="2">
        <v>46177.826388888891</v>
      </c>
      <c r="C576" t="s">
        <v>19</v>
      </c>
      <c r="D576" t="s">
        <v>14</v>
      </c>
      <c r="E576" t="s">
        <v>63</v>
      </c>
      <c r="F576" t="s">
        <v>69</v>
      </c>
      <c r="G576">
        <v>1.62</v>
      </c>
      <c r="H576">
        <v>2.2999999999999998</v>
      </c>
      <c r="I576" s="2">
        <v>46175.901226851849</v>
      </c>
    </row>
    <row r="577" spans="1:9" x14ac:dyDescent="0.25">
      <c r="A577">
        <v>129991401</v>
      </c>
      <c r="B577" s="2">
        <v>46177.826388888891</v>
      </c>
      <c r="C577" t="s">
        <v>19</v>
      </c>
      <c r="D577" t="s">
        <v>14</v>
      </c>
      <c r="E577" t="s">
        <v>65</v>
      </c>
      <c r="F577" t="s">
        <v>69</v>
      </c>
      <c r="G577">
        <v>1.62</v>
      </c>
      <c r="H577">
        <v>2.35</v>
      </c>
      <c r="I577" s="2">
        <v>46175.90185185185</v>
      </c>
    </row>
    <row r="578" spans="1:9" x14ac:dyDescent="0.25">
      <c r="A578">
        <v>129991401</v>
      </c>
      <c r="B578" s="2">
        <v>46177.826388888891</v>
      </c>
      <c r="C578" t="s">
        <v>19</v>
      </c>
      <c r="D578" t="s">
        <v>14</v>
      </c>
      <c r="E578" t="s">
        <v>70</v>
      </c>
      <c r="F578" t="s">
        <v>69</v>
      </c>
      <c r="G578">
        <v>1.62</v>
      </c>
      <c r="H578">
        <v>2.35</v>
      </c>
      <c r="I578" s="2">
        <v>46175.901423611111</v>
      </c>
    </row>
    <row r="579" spans="1:9" x14ac:dyDescent="0.25">
      <c r="A579">
        <v>129991401</v>
      </c>
      <c r="B579" s="2">
        <v>46177.826388888891</v>
      </c>
      <c r="C579" t="s">
        <v>19</v>
      </c>
      <c r="D579" t="s">
        <v>14</v>
      </c>
      <c r="E579" t="s">
        <v>62</v>
      </c>
      <c r="F579" t="s">
        <v>69</v>
      </c>
      <c r="G579">
        <v>1.62</v>
      </c>
      <c r="H579">
        <v>2.2999999999999998</v>
      </c>
      <c r="I579" s="2">
        <v>46175.901446759257</v>
      </c>
    </row>
    <row r="580" spans="1:9" x14ac:dyDescent="0.25">
      <c r="A580">
        <v>129991401</v>
      </c>
      <c r="B580" s="2">
        <v>46177.826388888891</v>
      </c>
      <c r="C580" t="s">
        <v>19</v>
      </c>
      <c r="D580" t="s">
        <v>14</v>
      </c>
      <c r="E580" t="s">
        <v>67</v>
      </c>
      <c r="F580" t="s">
        <v>69</v>
      </c>
      <c r="G580">
        <v>1.6</v>
      </c>
      <c r="H580">
        <v>2.2999999999999998</v>
      </c>
      <c r="I580" s="2">
        <v>46175.90121527778</v>
      </c>
    </row>
    <row r="581" spans="1:9" x14ac:dyDescent="0.25">
      <c r="A581">
        <v>129991401</v>
      </c>
      <c r="B581" s="2">
        <v>46177.826388888891</v>
      </c>
      <c r="C581" t="s">
        <v>19</v>
      </c>
      <c r="D581" t="s">
        <v>14</v>
      </c>
      <c r="E581" t="s">
        <v>71</v>
      </c>
      <c r="F581" t="s">
        <v>69</v>
      </c>
      <c r="G581">
        <v>1.62</v>
      </c>
      <c r="H581">
        <v>2.2999999999999998</v>
      </c>
      <c r="I581" s="2">
        <v>46175.90184027778</v>
      </c>
    </row>
    <row r="582" spans="1:9" x14ac:dyDescent="0.25">
      <c r="A582">
        <v>129991401</v>
      </c>
      <c r="B582" s="2">
        <v>46177.826388888891</v>
      </c>
      <c r="C582" t="s">
        <v>19</v>
      </c>
      <c r="D582" t="s">
        <v>14</v>
      </c>
      <c r="E582" t="s">
        <v>72</v>
      </c>
      <c r="F582" t="s">
        <v>69</v>
      </c>
      <c r="G582">
        <v>1.62</v>
      </c>
      <c r="H582">
        <v>2.2999999999999998</v>
      </c>
      <c r="I582" s="2">
        <v>46175.901226851849</v>
      </c>
    </row>
    <row r="583" spans="1:9" x14ac:dyDescent="0.25">
      <c r="A583">
        <v>129991401</v>
      </c>
      <c r="B583" s="2">
        <v>46177.826388888891</v>
      </c>
      <c r="C583" t="s">
        <v>19</v>
      </c>
      <c r="D583" t="s">
        <v>14</v>
      </c>
      <c r="E583" t="s">
        <v>73</v>
      </c>
      <c r="F583" t="s">
        <v>69</v>
      </c>
      <c r="G583">
        <v>1.62</v>
      </c>
      <c r="H583">
        <v>2.2799999999999998</v>
      </c>
      <c r="I583" s="2">
        <v>46175.901435185187</v>
      </c>
    </row>
    <row r="584" spans="1:9" x14ac:dyDescent="0.25">
      <c r="A584">
        <v>129991401</v>
      </c>
      <c r="B584" s="2">
        <v>46177.826388888891</v>
      </c>
      <c r="C584" t="s">
        <v>19</v>
      </c>
      <c r="D584" t="s">
        <v>14</v>
      </c>
      <c r="E584" t="s">
        <v>64</v>
      </c>
      <c r="F584" t="s">
        <v>69</v>
      </c>
      <c r="G584">
        <v>1.5</v>
      </c>
      <c r="H584">
        <v>2.48</v>
      </c>
      <c r="I584" s="2">
        <v>46175.901875000003</v>
      </c>
    </row>
    <row r="585" spans="1:9" x14ac:dyDescent="0.25">
      <c r="A585">
        <v>129991402</v>
      </c>
      <c r="B585" s="2">
        <v>46178.75</v>
      </c>
      <c r="C585" t="s">
        <v>15</v>
      </c>
      <c r="D585" t="s">
        <v>17</v>
      </c>
      <c r="E585" t="s">
        <v>61</v>
      </c>
      <c r="F585" t="s">
        <v>69</v>
      </c>
      <c r="G585">
        <v>1.63</v>
      </c>
      <c r="H585">
        <v>2.29</v>
      </c>
      <c r="I585" s="2">
        <v>46175.90185185185</v>
      </c>
    </row>
    <row r="586" spans="1:9" x14ac:dyDescent="0.25">
      <c r="A586">
        <v>129991402</v>
      </c>
      <c r="B586" s="2">
        <v>46178.75</v>
      </c>
      <c r="C586" t="s">
        <v>15</v>
      </c>
      <c r="D586" t="s">
        <v>17</v>
      </c>
      <c r="E586" t="s">
        <v>63</v>
      </c>
      <c r="F586" t="s">
        <v>69</v>
      </c>
      <c r="G586">
        <v>1.62</v>
      </c>
      <c r="H586">
        <v>2.2999999999999998</v>
      </c>
      <c r="I586" s="2">
        <v>46175.901226851849</v>
      </c>
    </row>
    <row r="587" spans="1:9" x14ac:dyDescent="0.25">
      <c r="A587">
        <v>129991402</v>
      </c>
      <c r="B587" s="2">
        <v>46178.75</v>
      </c>
      <c r="C587" t="s">
        <v>15</v>
      </c>
      <c r="D587" t="s">
        <v>17</v>
      </c>
      <c r="E587" t="s">
        <v>66</v>
      </c>
      <c r="F587" t="s">
        <v>69</v>
      </c>
      <c r="G587">
        <v>1.63</v>
      </c>
      <c r="H587">
        <v>2.25</v>
      </c>
      <c r="I587" s="2">
        <v>46175.90184027778</v>
      </c>
    </row>
    <row r="588" spans="1:9" x14ac:dyDescent="0.25">
      <c r="A588">
        <v>129991402</v>
      </c>
      <c r="B588" s="2">
        <v>46178.75</v>
      </c>
      <c r="C588" t="s">
        <v>15</v>
      </c>
      <c r="D588" t="s">
        <v>17</v>
      </c>
      <c r="E588" t="s">
        <v>70</v>
      </c>
      <c r="F588" t="s">
        <v>69</v>
      </c>
      <c r="G588">
        <v>1.6</v>
      </c>
      <c r="H588">
        <v>2.35</v>
      </c>
      <c r="I588" s="2">
        <v>46175.901423611111</v>
      </c>
    </row>
    <row r="589" spans="1:9" x14ac:dyDescent="0.25">
      <c r="A589">
        <v>129991402</v>
      </c>
      <c r="B589" s="2">
        <v>46178.75</v>
      </c>
      <c r="C589" t="s">
        <v>15</v>
      </c>
      <c r="D589" t="s">
        <v>17</v>
      </c>
      <c r="E589" t="s">
        <v>65</v>
      </c>
      <c r="F589" t="s">
        <v>69</v>
      </c>
      <c r="G589">
        <v>1.6</v>
      </c>
      <c r="H589">
        <v>2.35</v>
      </c>
      <c r="I589" s="2">
        <v>46175.90185185185</v>
      </c>
    </row>
    <row r="590" spans="1:9" x14ac:dyDescent="0.25">
      <c r="A590">
        <v>129991402</v>
      </c>
      <c r="B590" s="2">
        <v>46178.75</v>
      </c>
      <c r="C590" t="s">
        <v>15</v>
      </c>
      <c r="D590" t="s">
        <v>17</v>
      </c>
      <c r="E590" t="s">
        <v>62</v>
      </c>
      <c r="F590" t="s">
        <v>69</v>
      </c>
      <c r="G590">
        <v>1.62</v>
      </c>
      <c r="H590">
        <v>2.2999999999999998</v>
      </c>
      <c r="I590" s="2">
        <v>46175.901446759257</v>
      </c>
    </row>
    <row r="591" spans="1:9" x14ac:dyDescent="0.25">
      <c r="A591">
        <v>129991402</v>
      </c>
      <c r="B591" s="2">
        <v>46178.75</v>
      </c>
      <c r="C591" t="s">
        <v>15</v>
      </c>
      <c r="D591" t="s">
        <v>17</v>
      </c>
      <c r="E591" t="s">
        <v>67</v>
      </c>
      <c r="F591" t="s">
        <v>69</v>
      </c>
      <c r="G591">
        <v>1.6</v>
      </c>
      <c r="H591">
        <v>2.2999999999999998</v>
      </c>
      <c r="I591" s="2">
        <v>46175.90121527778</v>
      </c>
    </row>
    <row r="592" spans="1:9" x14ac:dyDescent="0.25">
      <c r="A592">
        <v>129991402</v>
      </c>
      <c r="B592" s="2">
        <v>46178.75</v>
      </c>
      <c r="C592" t="s">
        <v>15</v>
      </c>
      <c r="D592" t="s">
        <v>17</v>
      </c>
      <c r="E592" t="s">
        <v>71</v>
      </c>
      <c r="F592" t="s">
        <v>69</v>
      </c>
      <c r="G592">
        <v>1.62</v>
      </c>
      <c r="H592">
        <v>2.2999999999999998</v>
      </c>
      <c r="I592" s="2">
        <v>46175.90184027778</v>
      </c>
    </row>
    <row r="593" spans="1:9" x14ac:dyDescent="0.25">
      <c r="A593">
        <v>129991402</v>
      </c>
      <c r="B593" s="2">
        <v>46178.75</v>
      </c>
      <c r="C593" t="s">
        <v>15</v>
      </c>
      <c r="D593" t="s">
        <v>17</v>
      </c>
      <c r="E593" t="s">
        <v>72</v>
      </c>
      <c r="F593" t="s">
        <v>69</v>
      </c>
      <c r="G593">
        <v>1.61</v>
      </c>
      <c r="H593">
        <v>2.33</v>
      </c>
      <c r="I593" s="2">
        <v>46175.901226851849</v>
      </c>
    </row>
    <row r="594" spans="1:9" x14ac:dyDescent="0.25">
      <c r="A594">
        <v>129991402</v>
      </c>
      <c r="B594" s="2">
        <v>46178.75</v>
      </c>
      <c r="C594" t="s">
        <v>15</v>
      </c>
      <c r="D594" t="s">
        <v>17</v>
      </c>
      <c r="E594" t="s">
        <v>73</v>
      </c>
      <c r="F594" t="s">
        <v>69</v>
      </c>
      <c r="G594">
        <v>1.6</v>
      </c>
      <c r="H594">
        <v>2.2999999999999998</v>
      </c>
      <c r="I594" s="2">
        <v>46175.901435185187</v>
      </c>
    </row>
    <row r="595" spans="1:9" x14ac:dyDescent="0.25">
      <c r="A595">
        <v>129991402</v>
      </c>
      <c r="B595" s="2">
        <v>46178.75</v>
      </c>
      <c r="C595" t="s">
        <v>15</v>
      </c>
      <c r="D595" t="s">
        <v>17</v>
      </c>
      <c r="E595" t="s">
        <v>64</v>
      </c>
      <c r="F595" t="s">
        <v>69</v>
      </c>
      <c r="G595">
        <v>1.65</v>
      </c>
      <c r="H595">
        <v>2.38</v>
      </c>
      <c r="I595" s="2">
        <v>46175.901875000003</v>
      </c>
    </row>
    <row r="596" spans="1:9" x14ac:dyDescent="0.25">
      <c r="A596">
        <v>129991403</v>
      </c>
      <c r="B596" s="2">
        <v>46178.833333333336</v>
      </c>
      <c r="C596" t="s">
        <v>4</v>
      </c>
      <c r="D596" t="s">
        <v>10</v>
      </c>
      <c r="E596" t="s">
        <v>61</v>
      </c>
      <c r="F596" t="s">
        <v>69</v>
      </c>
      <c r="G596">
        <v>2.19</v>
      </c>
      <c r="H596">
        <v>1.68</v>
      </c>
      <c r="I596" s="2">
        <v>46175.90185185185</v>
      </c>
    </row>
    <row r="597" spans="1:9" x14ac:dyDescent="0.25">
      <c r="A597">
        <v>129991403</v>
      </c>
      <c r="B597" s="2">
        <v>46178.833333333336</v>
      </c>
      <c r="C597" t="s">
        <v>4</v>
      </c>
      <c r="D597" t="s">
        <v>10</v>
      </c>
      <c r="E597" t="s">
        <v>66</v>
      </c>
      <c r="F597" t="s">
        <v>69</v>
      </c>
      <c r="G597">
        <v>2.2000000000000002</v>
      </c>
      <c r="H597">
        <v>1.67</v>
      </c>
      <c r="I597" s="2">
        <v>46175.90184027778</v>
      </c>
    </row>
    <row r="598" spans="1:9" x14ac:dyDescent="0.25">
      <c r="A598">
        <v>129991403</v>
      </c>
      <c r="B598" s="2">
        <v>46178.833333333336</v>
      </c>
      <c r="C598" t="s">
        <v>4</v>
      </c>
      <c r="D598" t="s">
        <v>10</v>
      </c>
      <c r="E598" t="s">
        <v>63</v>
      </c>
      <c r="F598" t="s">
        <v>69</v>
      </c>
      <c r="G598">
        <v>2.1800000000000002</v>
      </c>
      <c r="H598">
        <v>1.68</v>
      </c>
      <c r="I598" s="2">
        <v>46175.901226851849</v>
      </c>
    </row>
    <row r="599" spans="1:9" x14ac:dyDescent="0.25">
      <c r="A599">
        <v>129991403</v>
      </c>
      <c r="B599" s="2">
        <v>46178.833333333336</v>
      </c>
      <c r="C599" t="s">
        <v>4</v>
      </c>
      <c r="D599" t="s">
        <v>10</v>
      </c>
      <c r="E599" t="s">
        <v>65</v>
      </c>
      <c r="F599" t="s">
        <v>69</v>
      </c>
      <c r="G599">
        <v>2.15</v>
      </c>
      <c r="H599">
        <v>1.7</v>
      </c>
      <c r="I599" s="2">
        <v>46175.90185185185</v>
      </c>
    </row>
    <row r="600" spans="1:9" x14ac:dyDescent="0.25">
      <c r="A600">
        <v>129991403</v>
      </c>
      <c r="B600" s="2">
        <v>46178.833333333336</v>
      </c>
      <c r="C600" t="s">
        <v>4</v>
      </c>
      <c r="D600" t="s">
        <v>10</v>
      </c>
      <c r="E600" t="s">
        <v>70</v>
      </c>
      <c r="F600" t="s">
        <v>69</v>
      </c>
      <c r="G600">
        <v>2.15</v>
      </c>
      <c r="H600">
        <v>1.7</v>
      </c>
      <c r="I600" s="2">
        <v>46175.901423611111</v>
      </c>
    </row>
    <row r="601" spans="1:9" x14ac:dyDescent="0.25">
      <c r="A601">
        <v>129991403</v>
      </c>
      <c r="B601" s="2">
        <v>46178.833333333336</v>
      </c>
      <c r="C601" t="s">
        <v>4</v>
      </c>
      <c r="D601" t="s">
        <v>10</v>
      </c>
      <c r="E601" t="s">
        <v>62</v>
      </c>
      <c r="F601" t="s">
        <v>69</v>
      </c>
      <c r="G601">
        <v>2.2000000000000002</v>
      </c>
      <c r="H601">
        <v>1.67</v>
      </c>
      <c r="I601" s="2">
        <v>46175.901446759257</v>
      </c>
    </row>
    <row r="602" spans="1:9" x14ac:dyDescent="0.25">
      <c r="A602">
        <v>129991403</v>
      </c>
      <c r="B602" s="2">
        <v>46178.833333333336</v>
      </c>
      <c r="C602" t="s">
        <v>4</v>
      </c>
      <c r="D602" t="s">
        <v>10</v>
      </c>
      <c r="E602" t="s">
        <v>67</v>
      </c>
      <c r="F602" t="s">
        <v>69</v>
      </c>
      <c r="G602">
        <v>2.2000000000000002</v>
      </c>
      <c r="H602">
        <v>1.65</v>
      </c>
      <c r="I602" s="2">
        <v>46175.90121527778</v>
      </c>
    </row>
    <row r="603" spans="1:9" x14ac:dyDescent="0.25">
      <c r="A603">
        <v>129991403</v>
      </c>
      <c r="B603" s="2">
        <v>46178.833333333336</v>
      </c>
      <c r="C603" t="s">
        <v>4</v>
      </c>
      <c r="D603" t="s">
        <v>10</v>
      </c>
      <c r="E603" t="s">
        <v>71</v>
      </c>
      <c r="F603" t="s">
        <v>69</v>
      </c>
      <c r="G603">
        <v>2.2000000000000002</v>
      </c>
      <c r="H603">
        <v>1.67</v>
      </c>
      <c r="I603" s="2">
        <v>46175.90184027778</v>
      </c>
    </row>
    <row r="604" spans="1:9" x14ac:dyDescent="0.25">
      <c r="A604">
        <v>129991403</v>
      </c>
      <c r="B604" s="2">
        <v>46178.833333333336</v>
      </c>
      <c r="C604" t="s">
        <v>4</v>
      </c>
      <c r="D604" t="s">
        <v>10</v>
      </c>
      <c r="E604" t="s">
        <v>72</v>
      </c>
      <c r="F604" t="s">
        <v>69</v>
      </c>
      <c r="G604">
        <v>2.2000000000000002</v>
      </c>
      <c r="H604">
        <v>1.68</v>
      </c>
      <c r="I604" s="2">
        <v>46175.901226851849</v>
      </c>
    </row>
    <row r="605" spans="1:9" x14ac:dyDescent="0.25">
      <c r="A605">
        <v>129991403</v>
      </c>
      <c r="B605" s="2">
        <v>46178.833333333336</v>
      </c>
      <c r="C605" t="s">
        <v>4</v>
      </c>
      <c r="D605" t="s">
        <v>10</v>
      </c>
      <c r="E605" t="s">
        <v>73</v>
      </c>
      <c r="F605" t="s">
        <v>69</v>
      </c>
      <c r="G605">
        <v>2.1800000000000002</v>
      </c>
      <c r="H605">
        <v>1.67</v>
      </c>
      <c r="I605" s="2">
        <v>46175.901435185187</v>
      </c>
    </row>
    <row r="606" spans="1:9" x14ac:dyDescent="0.25">
      <c r="A606">
        <v>129991403</v>
      </c>
      <c r="B606" s="2">
        <v>46178.833333333336</v>
      </c>
      <c r="C606" t="s">
        <v>4</v>
      </c>
      <c r="D606" t="s">
        <v>10</v>
      </c>
      <c r="E606" t="s">
        <v>64</v>
      </c>
      <c r="F606" t="s">
        <v>69</v>
      </c>
      <c r="G606">
        <v>2.2799999999999998</v>
      </c>
      <c r="H606">
        <v>1.7</v>
      </c>
      <c r="I606" s="2">
        <v>46175.901875000003</v>
      </c>
    </row>
    <row r="607" spans="1:9" x14ac:dyDescent="0.25">
      <c r="A607">
        <v>129991404</v>
      </c>
      <c r="B607" s="2">
        <v>46179.729166666664</v>
      </c>
      <c r="C607" t="s">
        <v>7</v>
      </c>
      <c r="D607" t="s">
        <v>12</v>
      </c>
      <c r="E607" t="s">
        <v>61</v>
      </c>
      <c r="F607" t="s">
        <v>69</v>
      </c>
      <c r="G607">
        <v>2.2799999999999998</v>
      </c>
      <c r="H607">
        <v>1.63</v>
      </c>
      <c r="I607" s="2">
        <v>46175.90185185185</v>
      </c>
    </row>
    <row r="608" spans="1:9" x14ac:dyDescent="0.25">
      <c r="A608">
        <v>129991404</v>
      </c>
      <c r="B608" s="2">
        <v>46179.729166666664</v>
      </c>
      <c r="C608" t="s">
        <v>7</v>
      </c>
      <c r="D608" t="s">
        <v>12</v>
      </c>
      <c r="E608" t="s">
        <v>66</v>
      </c>
      <c r="F608" t="s">
        <v>69</v>
      </c>
      <c r="G608">
        <v>2.4</v>
      </c>
      <c r="H608">
        <v>1.57</v>
      </c>
      <c r="I608" s="2">
        <v>46175.90184027778</v>
      </c>
    </row>
    <row r="609" spans="1:9" x14ac:dyDescent="0.25">
      <c r="A609">
        <v>129991404</v>
      </c>
      <c r="B609" s="2">
        <v>46179.729166666664</v>
      </c>
      <c r="C609" t="s">
        <v>7</v>
      </c>
      <c r="D609" t="s">
        <v>12</v>
      </c>
      <c r="E609" t="s">
        <v>63</v>
      </c>
      <c r="F609" t="s">
        <v>69</v>
      </c>
      <c r="G609">
        <v>2.35</v>
      </c>
      <c r="H609">
        <v>1.6</v>
      </c>
      <c r="I609" s="2">
        <v>46175.901226851849</v>
      </c>
    </row>
    <row r="610" spans="1:9" x14ac:dyDescent="0.25">
      <c r="A610">
        <v>129991404</v>
      </c>
      <c r="B610" s="2">
        <v>46179.729166666664</v>
      </c>
      <c r="C610" t="s">
        <v>7</v>
      </c>
      <c r="D610" t="s">
        <v>12</v>
      </c>
      <c r="E610" t="s">
        <v>70</v>
      </c>
      <c r="F610" t="s">
        <v>69</v>
      </c>
      <c r="G610">
        <v>2.35</v>
      </c>
      <c r="H610">
        <v>1.6</v>
      </c>
      <c r="I610" s="2">
        <v>46175.901423611111</v>
      </c>
    </row>
    <row r="611" spans="1:9" x14ac:dyDescent="0.25">
      <c r="A611">
        <v>129991404</v>
      </c>
      <c r="B611" s="2">
        <v>46179.729166666664</v>
      </c>
      <c r="C611" t="s">
        <v>7</v>
      </c>
      <c r="D611" t="s">
        <v>12</v>
      </c>
      <c r="E611" t="s">
        <v>65</v>
      </c>
      <c r="F611" t="s">
        <v>69</v>
      </c>
      <c r="G611">
        <v>2.35</v>
      </c>
      <c r="H611">
        <v>1.6</v>
      </c>
      <c r="I611" s="2">
        <v>46175.90185185185</v>
      </c>
    </row>
    <row r="612" spans="1:9" x14ac:dyDescent="0.25">
      <c r="A612">
        <v>129991404</v>
      </c>
      <c r="B612" s="2">
        <v>46179.729166666664</v>
      </c>
      <c r="C612" t="s">
        <v>7</v>
      </c>
      <c r="D612" t="s">
        <v>12</v>
      </c>
      <c r="E612" t="s">
        <v>62</v>
      </c>
      <c r="F612" t="s">
        <v>69</v>
      </c>
      <c r="G612">
        <v>2.4</v>
      </c>
      <c r="H612">
        <v>1.58</v>
      </c>
      <c r="I612" s="2">
        <v>46175.901446759257</v>
      </c>
    </row>
    <row r="613" spans="1:9" x14ac:dyDescent="0.25">
      <c r="A613">
        <v>129991404</v>
      </c>
      <c r="B613" s="2">
        <v>46179.729166666664</v>
      </c>
      <c r="C613" t="s">
        <v>7</v>
      </c>
      <c r="D613" t="s">
        <v>12</v>
      </c>
      <c r="E613" t="s">
        <v>67</v>
      </c>
      <c r="F613" t="s">
        <v>69</v>
      </c>
      <c r="G613">
        <v>2.4</v>
      </c>
      <c r="H613">
        <v>1.55</v>
      </c>
      <c r="I613" s="2">
        <v>46175.90121527778</v>
      </c>
    </row>
    <row r="614" spans="1:9" x14ac:dyDescent="0.25">
      <c r="A614">
        <v>129991404</v>
      </c>
      <c r="B614" s="2">
        <v>46179.729166666664</v>
      </c>
      <c r="C614" t="s">
        <v>7</v>
      </c>
      <c r="D614" t="s">
        <v>12</v>
      </c>
      <c r="E614" t="s">
        <v>71</v>
      </c>
      <c r="F614" t="s">
        <v>69</v>
      </c>
      <c r="G614">
        <v>2.4</v>
      </c>
      <c r="H614">
        <v>1.58</v>
      </c>
      <c r="I614" s="2">
        <v>46175.90184027778</v>
      </c>
    </row>
    <row r="615" spans="1:9" x14ac:dyDescent="0.25">
      <c r="A615">
        <v>129991404</v>
      </c>
      <c r="B615" s="2">
        <v>46179.729166666664</v>
      </c>
      <c r="C615" t="s">
        <v>7</v>
      </c>
      <c r="D615" t="s">
        <v>12</v>
      </c>
      <c r="E615" t="s">
        <v>72</v>
      </c>
      <c r="F615" t="s">
        <v>69</v>
      </c>
      <c r="G615">
        <v>2.4300000000000002</v>
      </c>
      <c r="H615">
        <v>1.56</v>
      </c>
      <c r="I615" s="2">
        <v>46175.901226851849</v>
      </c>
    </row>
    <row r="616" spans="1:9" x14ac:dyDescent="0.25">
      <c r="A616">
        <v>129991404</v>
      </c>
      <c r="B616" s="2">
        <v>46179.729166666664</v>
      </c>
      <c r="C616" t="s">
        <v>7</v>
      </c>
      <c r="D616" t="s">
        <v>12</v>
      </c>
      <c r="E616" t="s">
        <v>73</v>
      </c>
      <c r="F616" t="s">
        <v>69</v>
      </c>
      <c r="G616">
        <v>2.4</v>
      </c>
      <c r="H616">
        <v>1.56</v>
      </c>
      <c r="I616" s="2">
        <v>46175.901435185187</v>
      </c>
    </row>
    <row r="617" spans="1:9" x14ac:dyDescent="0.25">
      <c r="A617">
        <v>129991404</v>
      </c>
      <c r="B617" s="2">
        <v>46179.729166666664</v>
      </c>
      <c r="C617" t="s">
        <v>7</v>
      </c>
      <c r="D617" t="s">
        <v>12</v>
      </c>
      <c r="E617" t="s">
        <v>64</v>
      </c>
      <c r="F617" t="s">
        <v>69</v>
      </c>
      <c r="G617">
        <v>2.38</v>
      </c>
      <c r="H617">
        <v>1.64</v>
      </c>
      <c r="I617" s="2">
        <v>46175.901875000003</v>
      </c>
    </row>
    <row r="618" spans="1:9" x14ac:dyDescent="0.25">
      <c r="A618">
        <v>129991405</v>
      </c>
      <c r="B618" s="2">
        <v>46179.815972222219</v>
      </c>
      <c r="C618" t="s">
        <v>9</v>
      </c>
      <c r="D618" t="s">
        <v>22</v>
      </c>
      <c r="E618" t="s">
        <v>61</v>
      </c>
      <c r="F618" t="s">
        <v>69</v>
      </c>
      <c r="G618">
        <v>1.44</v>
      </c>
      <c r="H618">
        <v>2.8</v>
      </c>
      <c r="I618" s="2">
        <v>46175.90185185185</v>
      </c>
    </row>
    <row r="619" spans="1:9" x14ac:dyDescent="0.25">
      <c r="A619">
        <v>129991405</v>
      </c>
      <c r="B619" s="2">
        <v>46179.815972222219</v>
      </c>
      <c r="C619" t="s">
        <v>9</v>
      </c>
      <c r="D619" t="s">
        <v>22</v>
      </c>
      <c r="E619" t="s">
        <v>66</v>
      </c>
      <c r="F619" t="s">
        <v>69</v>
      </c>
      <c r="G619">
        <v>1.41</v>
      </c>
      <c r="H619">
        <v>2.9</v>
      </c>
      <c r="I619" s="2">
        <v>46175.90184027778</v>
      </c>
    </row>
    <row r="620" spans="1:9" x14ac:dyDescent="0.25">
      <c r="A620">
        <v>129991405</v>
      </c>
      <c r="B620" s="2">
        <v>46179.815972222219</v>
      </c>
      <c r="C620" t="s">
        <v>9</v>
      </c>
      <c r="D620" t="s">
        <v>22</v>
      </c>
      <c r="E620" t="s">
        <v>63</v>
      </c>
      <c r="F620" t="s">
        <v>69</v>
      </c>
      <c r="G620">
        <v>1.42</v>
      </c>
      <c r="H620">
        <v>2.88</v>
      </c>
      <c r="I620" s="2">
        <v>46175.901226851849</v>
      </c>
    </row>
    <row r="621" spans="1:9" x14ac:dyDescent="0.25">
      <c r="A621">
        <v>129991405</v>
      </c>
      <c r="B621" s="2">
        <v>46179.815972222219</v>
      </c>
      <c r="C621" t="s">
        <v>9</v>
      </c>
      <c r="D621" t="s">
        <v>22</v>
      </c>
      <c r="E621" t="s">
        <v>70</v>
      </c>
      <c r="F621" t="s">
        <v>69</v>
      </c>
      <c r="G621">
        <v>1.42</v>
      </c>
      <c r="H621">
        <v>2.85</v>
      </c>
      <c r="I621" s="2">
        <v>46175.901423611111</v>
      </c>
    </row>
    <row r="622" spans="1:9" x14ac:dyDescent="0.25">
      <c r="A622">
        <v>129991405</v>
      </c>
      <c r="B622" s="2">
        <v>46179.815972222219</v>
      </c>
      <c r="C622" t="s">
        <v>9</v>
      </c>
      <c r="D622" t="s">
        <v>22</v>
      </c>
      <c r="E622" t="s">
        <v>65</v>
      </c>
      <c r="F622" t="s">
        <v>69</v>
      </c>
      <c r="G622">
        <v>1.42</v>
      </c>
      <c r="H622">
        <v>2.85</v>
      </c>
      <c r="I622" s="2">
        <v>46175.90185185185</v>
      </c>
    </row>
    <row r="623" spans="1:9" x14ac:dyDescent="0.25">
      <c r="A623">
        <v>129991405</v>
      </c>
      <c r="B623" s="2">
        <v>46179.815972222219</v>
      </c>
      <c r="C623" t="s">
        <v>9</v>
      </c>
      <c r="D623" t="s">
        <v>22</v>
      </c>
      <c r="E623" t="s">
        <v>62</v>
      </c>
      <c r="F623" t="s">
        <v>69</v>
      </c>
      <c r="G623">
        <v>1.42</v>
      </c>
      <c r="H623">
        <v>2.9</v>
      </c>
      <c r="I623" s="2">
        <v>46175.901446759257</v>
      </c>
    </row>
    <row r="624" spans="1:9" x14ac:dyDescent="0.25">
      <c r="A624">
        <v>129991405</v>
      </c>
      <c r="B624" s="2">
        <v>46179.815972222219</v>
      </c>
      <c r="C624" t="s">
        <v>9</v>
      </c>
      <c r="D624" t="s">
        <v>22</v>
      </c>
      <c r="E624" t="s">
        <v>67</v>
      </c>
      <c r="F624" t="s">
        <v>69</v>
      </c>
      <c r="G624">
        <v>1.38</v>
      </c>
      <c r="H624">
        <v>3</v>
      </c>
      <c r="I624" s="2">
        <v>46175.90121527778</v>
      </c>
    </row>
    <row r="625" spans="1:9" x14ac:dyDescent="0.25">
      <c r="A625">
        <v>129991405</v>
      </c>
      <c r="B625" s="2">
        <v>46179.815972222219</v>
      </c>
      <c r="C625" t="s">
        <v>9</v>
      </c>
      <c r="D625" t="s">
        <v>22</v>
      </c>
      <c r="E625" t="s">
        <v>71</v>
      </c>
      <c r="F625" t="s">
        <v>69</v>
      </c>
      <c r="G625">
        <v>1.42</v>
      </c>
      <c r="H625">
        <v>2.85</v>
      </c>
      <c r="I625" s="2">
        <v>46175.90184027778</v>
      </c>
    </row>
    <row r="626" spans="1:9" x14ac:dyDescent="0.25">
      <c r="A626">
        <v>129991405</v>
      </c>
      <c r="B626" s="2">
        <v>46179.815972222219</v>
      </c>
      <c r="C626" t="s">
        <v>9</v>
      </c>
      <c r="D626" t="s">
        <v>22</v>
      </c>
      <c r="E626" t="s">
        <v>73</v>
      </c>
      <c r="F626" t="s">
        <v>69</v>
      </c>
      <c r="G626">
        <v>1.38</v>
      </c>
      <c r="H626">
        <v>3</v>
      </c>
      <c r="I626" s="2">
        <v>46175.901435185187</v>
      </c>
    </row>
    <row r="627" spans="1:9" x14ac:dyDescent="0.25">
      <c r="A627">
        <v>129991405</v>
      </c>
      <c r="B627" s="2">
        <v>46179.815972222219</v>
      </c>
      <c r="C627" t="s">
        <v>9</v>
      </c>
      <c r="D627" t="s">
        <v>22</v>
      </c>
      <c r="E627" t="s">
        <v>72</v>
      </c>
      <c r="F627" t="s">
        <v>69</v>
      </c>
      <c r="G627">
        <v>1.38</v>
      </c>
      <c r="H627">
        <v>3.05</v>
      </c>
      <c r="I627" s="2">
        <v>46175.901226851849</v>
      </c>
    </row>
    <row r="628" spans="1:9" x14ac:dyDescent="0.25">
      <c r="A628">
        <v>129991405</v>
      </c>
      <c r="B628" s="2">
        <v>46179.815972222219</v>
      </c>
      <c r="C628" t="s">
        <v>9</v>
      </c>
      <c r="D628" t="s">
        <v>22</v>
      </c>
      <c r="E628" t="s">
        <v>64</v>
      </c>
      <c r="F628" t="s">
        <v>69</v>
      </c>
      <c r="G628">
        <v>1.39</v>
      </c>
      <c r="H628">
        <v>3.25</v>
      </c>
      <c r="I628" s="2">
        <v>46175.901875000003</v>
      </c>
    </row>
    <row r="629" spans="1:9" x14ac:dyDescent="0.25">
      <c r="A629">
        <v>129991406</v>
      </c>
      <c r="B629" s="2">
        <v>46180.583333333336</v>
      </c>
      <c r="C629" t="s">
        <v>5</v>
      </c>
      <c r="D629" t="s">
        <v>16</v>
      </c>
      <c r="E629" t="s">
        <v>61</v>
      </c>
      <c r="F629" t="s">
        <v>69</v>
      </c>
      <c r="G629">
        <v>4.25</v>
      </c>
      <c r="H629">
        <v>1.22</v>
      </c>
      <c r="I629" s="2">
        <v>46175.90185185185</v>
      </c>
    </row>
    <row r="630" spans="1:9" x14ac:dyDescent="0.25">
      <c r="A630">
        <v>129991406</v>
      </c>
      <c r="B630" s="2">
        <v>46180.583333333336</v>
      </c>
      <c r="C630" t="s">
        <v>5</v>
      </c>
      <c r="D630" t="s">
        <v>16</v>
      </c>
      <c r="E630" t="s">
        <v>66</v>
      </c>
      <c r="F630" t="s">
        <v>69</v>
      </c>
      <c r="G630">
        <v>4.2</v>
      </c>
      <c r="H630">
        <v>1.23</v>
      </c>
      <c r="I630" s="2">
        <v>46175.90184027778</v>
      </c>
    </row>
    <row r="631" spans="1:9" x14ac:dyDescent="0.25">
      <c r="A631">
        <v>129991406</v>
      </c>
      <c r="B631" s="2">
        <v>46180.583333333336</v>
      </c>
      <c r="C631" t="s">
        <v>5</v>
      </c>
      <c r="D631" t="s">
        <v>16</v>
      </c>
      <c r="E631" t="s">
        <v>63</v>
      </c>
      <c r="F631" t="s">
        <v>69</v>
      </c>
      <c r="G631">
        <v>4.3</v>
      </c>
      <c r="H631">
        <v>1.22</v>
      </c>
      <c r="I631" s="2">
        <v>46175.901226851849</v>
      </c>
    </row>
    <row r="632" spans="1:9" x14ac:dyDescent="0.25">
      <c r="A632">
        <v>129991406</v>
      </c>
      <c r="B632" s="2">
        <v>46180.583333333336</v>
      </c>
      <c r="C632" t="s">
        <v>5</v>
      </c>
      <c r="D632" t="s">
        <v>16</v>
      </c>
      <c r="E632" t="s">
        <v>65</v>
      </c>
      <c r="F632" t="s">
        <v>69</v>
      </c>
      <c r="G632">
        <v>4.25</v>
      </c>
      <c r="H632">
        <v>1.22</v>
      </c>
      <c r="I632" s="2">
        <v>46175.90185185185</v>
      </c>
    </row>
    <row r="633" spans="1:9" x14ac:dyDescent="0.25">
      <c r="A633">
        <v>129991406</v>
      </c>
      <c r="B633" s="2">
        <v>46180.583333333336</v>
      </c>
      <c r="C633" t="s">
        <v>5</v>
      </c>
      <c r="D633" t="s">
        <v>16</v>
      </c>
      <c r="E633" t="s">
        <v>70</v>
      </c>
      <c r="F633" t="s">
        <v>69</v>
      </c>
      <c r="G633">
        <v>4.25</v>
      </c>
      <c r="H633">
        <v>1.22</v>
      </c>
      <c r="I633" s="2">
        <v>46175.901423611111</v>
      </c>
    </row>
    <row r="634" spans="1:9" x14ac:dyDescent="0.25">
      <c r="A634">
        <v>129991406</v>
      </c>
      <c r="B634" s="2">
        <v>46180.583333333336</v>
      </c>
      <c r="C634" t="s">
        <v>5</v>
      </c>
      <c r="D634" t="s">
        <v>16</v>
      </c>
      <c r="E634" t="s">
        <v>62</v>
      </c>
      <c r="F634" t="s">
        <v>69</v>
      </c>
      <c r="G634">
        <v>4.3</v>
      </c>
      <c r="H634">
        <v>1.22</v>
      </c>
      <c r="I634" s="2">
        <v>46175.901446759257</v>
      </c>
    </row>
    <row r="635" spans="1:9" x14ac:dyDescent="0.25">
      <c r="A635">
        <v>129991406</v>
      </c>
      <c r="B635" s="2">
        <v>46180.583333333336</v>
      </c>
      <c r="C635" t="s">
        <v>5</v>
      </c>
      <c r="D635" t="s">
        <v>16</v>
      </c>
      <c r="E635" t="s">
        <v>67</v>
      </c>
      <c r="F635" t="s">
        <v>69</v>
      </c>
      <c r="G635">
        <v>4.4000000000000004</v>
      </c>
      <c r="H635">
        <v>1.2</v>
      </c>
      <c r="I635" s="2">
        <v>46175.90121527778</v>
      </c>
    </row>
    <row r="636" spans="1:9" x14ac:dyDescent="0.25">
      <c r="A636">
        <v>129991406</v>
      </c>
      <c r="B636" s="2">
        <v>46180.583333333336</v>
      </c>
      <c r="C636" t="s">
        <v>5</v>
      </c>
      <c r="D636" t="s">
        <v>16</v>
      </c>
      <c r="E636" t="s">
        <v>71</v>
      </c>
      <c r="F636" t="s">
        <v>69</v>
      </c>
      <c r="G636">
        <v>4.2</v>
      </c>
      <c r="H636">
        <v>1.23</v>
      </c>
      <c r="I636" s="2">
        <v>46175.90184027778</v>
      </c>
    </row>
    <row r="637" spans="1:9" x14ac:dyDescent="0.25">
      <c r="A637">
        <v>129991406</v>
      </c>
      <c r="B637" s="2">
        <v>46180.583333333336</v>
      </c>
      <c r="C637" t="s">
        <v>5</v>
      </c>
      <c r="D637" t="s">
        <v>16</v>
      </c>
      <c r="E637" t="s">
        <v>72</v>
      </c>
      <c r="F637" t="s">
        <v>69</v>
      </c>
      <c r="G637">
        <v>4.3499999999999996</v>
      </c>
      <c r="H637">
        <v>1.22</v>
      </c>
      <c r="I637" s="2">
        <v>46175.901226851849</v>
      </c>
    </row>
    <row r="638" spans="1:9" x14ac:dyDescent="0.25">
      <c r="A638">
        <v>129991406</v>
      </c>
      <c r="B638" s="2">
        <v>46180.583333333336</v>
      </c>
      <c r="C638" t="s">
        <v>5</v>
      </c>
      <c r="D638" t="s">
        <v>16</v>
      </c>
      <c r="E638" t="s">
        <v>73</v>
      </c>
      <c r="F638" t="s">
        <v>69</v>
      </c>
      <c r="G638">
        <v>4.3</v>
      </c>
      <c r="H638">
        <v>1.21</v>
      </c>
      <c r="I638" s="2">
        <v>46175.901435185187</v>
      </c>
    </row>
    <row r="639" spans="1:9" x14ac:dyDescent="0.25">
      <c r="A639">
        <v>129991406</v>
      </c>
      <c r="B639" s="2">
        <v>46180.583333333336</v>
      </c>
      <c r="C639" t="s">
        <v>5</v>
      </c>
      <c r="D639" t="s">
        <v>16</v>
      </c>
      <c r="E639" t="s">
        <v>64</v>
      </c>
      <c r="F639" t="s">
        <v>69</v>
      </c>
      <c r="G639">
        <v>3</v>
      </c>
      <c r="H639">
        <v>1.2</v>
      </c>
      <c r="I639" s="2">
        <v>46175.901875000003</v>
      </c>
    </row>
    <row r="640" spans="1:9" x14ac:dyDescent="0.25">
      <c r="A640">
        <v>129991407</v>
      </c>
      <c r="B640" s="2">
        <v>46180.670138888891</v>
      </c>
      <c r="C640" t="s">
        <v>6</v>
      </c>
      <c r="D640" t="s">
        <v>11</v>
      </c>
      <c r="E640" t="s">
        <v>61</v>
      </c>
      <c r="F640" t="s">
        <v>69</v>
      </c>
      <c r="G640">
        <v>1.28</v>
      </c>
      <c r="H640">
        <v>3.66</v>
      </c>
      <c r="I640" s="2">
        <v>46175.90185185185</v>
      </c>
    </row>
    <row r="641" spans="1:9" x14ac:dyDescent="0.25">
      <c r="A641">
        <v>129991407</v>
      </c>
      <c r="B641" s="2">
        <v>46180.670138888891</v>
      </c>
      <c r="C641" t="s">
        <v>6</v>
      </c>
      <c r="D641" t="s">
        <v>11</v>
      </c>
      <c r="E641" t="s">
        <v>66</v>
      </c>
      <c r="F641" t="s">
        <v>69</v>
      </c>
      <c r="G641">
        <v>1.22</v>
      </c>
      <c r="H641">
        <v>4.2</v>
      </c>
      <c r="I641" s="2">
        <v>46175.90184027778</v>
      </c>
    </row>
    <row r="642" spans="1:9" x14ac:dyDescent="0.25">
      <c r="A642">
        <v>129991407</v>
      </c>
      <c r="B642" s="2">
        <v>46180.670138888891</v>
      </c>
      <c r="C642" t="s">
        <v>6</v>
      </c>
      <c r="D642" t="s">
        <v>11</v>
      </c>
      <c r="E642" t="s">
        <v>63</v>
      </c>
      <c r="F642" t="s">
        <v>69</v>
      </c>
      <c r="G642">
        <v>1.28</v>
      </c>
      <c r="H642">
        <v>3.7</v>
      </c>
      <c r="I642" s="2">
        <v>46175.901226851849</v>
      </c>
    </row>
    <row r="643" spans="1:9" x14ac:dyDescent="0.25">
      <c r="A643">
        <v>129991407</v>
      </c>
      <c r="B643" s="2">
        <v>46180.670138888891</v>
      </c>
      <c r="C643" t="s">
        <v>6</v>
      </c>
      <c r="D643" t="s">
        <v>11</v>
      </c>
      <c r="E643" t="s">
        <v>70</v>
      </c>
      <c r="F643" t="s">
        <v>69</v>
      </c>
      <c r="G643">
        <v>1.3</v>
      </c>
      <c r="H643">
        <v>3.5</v>
      </c>
      <c r="I643" s="2">
        <v>46175.901423611111</v>
      </c>
    </row>
    <row r="644" spans="1:9" x14ac:dyDescent="0.25">
      <c r="A644">
        <v>129991407</v>
      </c>
      <c r="B644" s="2">
        <v>46180.670138888891</v>
      </c>
      <c r="C644" t="s">
        <v>6</v>
      </c>
      <c r="D644" t="s">
        <v>11</v>
      </c>
      <c r="E644" t="s">
        <v>65</v>
      </c>
      <c r="F644" t="s">
        <v>69</v>
      </c>
      <c r="G644">
        <v>1.3</v>
      </c>
      <c r="H644">
        <v>3.5</v>
      </c>
      <c r="I644" s="2">
        <v>46175.90185185185</v>
      </c>
    </row>
    <row r="645" spans="1:9" x14ac:dyDescent="0.25">
      <c r="A645">
        <v>129991407</v>
      </c>
      <c r="B645" s="2">
        <v>46180.670138888891</v>
      </c>
      <c r="C645" t="s">
        <v>6</v>
      </c>
      <c r="D645" t="s">
        <v>11</v>
      </c>
      <c r="E645" t="s">
        <v>62</v>
      </c>
      <c r="F645" t="s">
        <v>69</v>
      </c>
      <c r="G645">
        <v>1.28</v>
      </c>
      <c r="H645">
        <v>3.7</v>
      </c>
      <c r="I645" s="2">
        <v>46175.901446759257</v>
      </c>
    </row>
    <row r="646" spans="1:9" x14ac:dyDescent="0.25">
      <c r="A646">
        <v>129991407</v>
      </c>
      <c r="B646" s="2">
        <v>46180.670138888891</v>
      </c>
      <c r="C646" t="s">
        <v>6</v>
      </c>
      <c r="D646" t="s">
        <v>11</v>
      </c>
      <c r="E646" t="s">
        <v>67</v>
      </c>
      <c r="F646" t="s">
        <v>69</v>
      </c>
      <c r="G646">
        <v>1.25</v>
      </c>
      <c r="H646">
        <v>3.8</v>
      </c>
      <c r="I646" s="2">
        <v>46175.901226851849</v>
      </c>
    </row>
    <row r="647" spans="1:9" x14ac:dyDescent="0.25">
      <c r="A647">
        <v>129991407</v>
      </c>
      <c r="B647" s="2">
        <v>46180.670138888891</v>
      </c>
      <c r="C647" t="s">
        <v>6</v>
      </c>
      <c r="D647" t="s">
        <v>11</v>
      </c>
      <c r="E647" t="s">
        <v>71</v>
      </c>
      <c r="F647" t="s">
        <v>69</v>
      </c>
      <c r="G647">
        <v>1.28</v>
      </c>
      <c r="H647">
        <v>3.7</v>
      </c>
      <c r="I647" s="2">
        <v>46175.90184027778</v>
      </c>
    </row>
    <row r="648" spans="1:9" x14ac:dyDescent="0.25">
      <c r="A648">
        <v>129991407</v>
      </c>
      <c r="B648" s="2">
        <v>46180.670138888891</v>
      </c>
      <c r="C648" t="s">
        <v>6</v>
      </c>
      <c r="D648" t="s">
        <v>11</v>
      </c>
      <c r="E648" t="s">
        <v>73</v>
      </c>
      <c r="F648" t="s">
        <v>69</v>
      </c>
      <c r="G648">
        <v>1.3</v>
      </c>
      <c r="H648">
        <v>3.5</v>
      </c>
      <c r="I648" s="2">
        <v>46175.901435185187</v>
      </c>
    </row>
    <row r="649" spans="1:9" x14ac:dyDescent="0.25">
      <c r="A649">
        <v>129991407</v>
      </c>
      <c r="B649" s="2">
        <v>46180.670138888891</v>
      </c>
      <c r="C649" t="s">
        <v>6</v>
      </c>
      <c r="D649" t="s">
        <v>11</v>
      </c>
      <c r="E649" t="s">
        <v>72</v>
      </c>
      <c r="F649" t="s">
        <v>69</v>
      </c>
      <c r="G649">
        <v>1.3</v>
      </c>
      <c r="H649">
        <v>3.5</v>
      </c>
      <c r="I649" s="2">
        <v>46175.901226851849</v>
      </c>
    </row>
    <row r="650" spans="1:9" x14ac:dyDescent="0.25">
      <c r="A650">
        <v>129991407</v>
      </c>
      <c r="B650" s="2">
        <v>46180.670138888891</v>
      </c>
      <c r="C650" t="s">
        <v>6</v>
      </c>
      <c r="D650" t="s">
        <v>11</v>
      </c>
      <c r="E650" t="s">
        <v>64</v>
      </c>
      <c r="F650" t="s">
        <v>69</v>
      </c>
      <c r="G650">
        <v>1.29</v>
      </c>
      <c r="H650">
        <v>2.66</v>
      </c>
      <c r="I650" s="2">
        <v>46175.901875000003</v>
      </c>
    </row>
    <row r="651" spans="1:9" x14ac:dyDescent="0.25">
      <c r="A651">
        <v>129991408</v>
      </c>
      <c r="B651" s="2">
        <v>46181.670138888891</v>
      </c>
      <c r="C651" t="s">
        <v>8</v>
      </c>
      <c r="D651" t="s">
        <v>18</v>
      </c>
      <c r="E651" t="s">
        <v>61</v>
      </c>
      <c r="F651" t="s">
        <v>69</v>
      </c>
      <c r="G651">
        <v>1.52</v>
      </c>
      <c r="H651">
        <v>2.5299999999999998</v>
      </c>
      <c r="I651" s="2">
        <v>46175.90185185185</v>
      </c>
    </row>
    <row r="652" spans="1:9" x14ac:dyDescent="0.25">
      <c r="A652">
        <v>129991408</v>
      </c>
      <c r="B652" s="2">
        <v>46181.670138888891</v>
      </c>
      <c r="C652" t="s">
        <v>8</v>
      </c>
      <c r="D652" t="s">
        <v>18</v>
      </c>
      <c r="E652" t="s">
        <v>66</v>
      </c>
      <c r="F652" t="s">
        <v>69</v>
      </c>
      <c r="G652">
        <v>1.5</v>
      </c>
      <c r="H652">
        <v>2.6</v>
      </c>
      <c r="I652" s="2">
        <v>46175.90184027778</v>
      </c>
    </row>
    <row r="653" spans="1:9" x14ac:dyDescent="0.25">
      <c r="A653">
        <v>129991408</v>
      </c>
      <c r="B653" s="2">
        <v>46181.670138888891</v>
      </c>
      <c r="C653" t="s">
        <v>8</v>
      </c>
      <c r="D653" t="s">
        <v>18</v>
      </c>
      <c r="E653" t="s">
        <v>63</v>
      </c>
      <c r="F653" t="s">
        <v>69</v>
      </c>
      <c r="G653">
        <v>1.52</v>
      </c>
      <c r="H653">
        <v>2.5499999999999998</v>
      </c>
      <c r="I653" s="2">
        <v>46175.901226851849</v>
      </c>
    </row>
    <row r="654" spans="1:9" x14ac:dyDescent="0.25">
      <c r="A654">
        <v>129991408</v>
      </c>
      <c r="B654" s="2">
        <v>46181.670138888891</v>
      </c>
      <c r="C654" t="s">
        <v>8</v>
      </c>
      <c r="D654" t="s">
        <v>18</v>
      </c>
      <c r="E654" t="s">
        <v>65</v>
      </c>
      <c r="F654" t="s">
        <v>69</v>
      </c>
      <c r="G654">
        <v>1.52</v>
      </c>
      <c r="H654">
        <v>2.5499999999999998</v>
      </c>
      <c r="I654" s="2">
        <v>46175.90185185185</v>
      </c>
    </row>
    <row r="655" spans="1:9" x14ac:dyDescent="0.25">
      <c r="A655">
        <v>129991408</v>
      </c>
      <c r="B655" s="2">
        <v>46181.670138888891</v>
      </c>
      <c r="C655" t="s">
        <v>8</v>
      </c>
      <c r="D655" t="s">
        <v>18</v>
      </c>
      <c r="E655" t="s">
        <v>70</v>
      </c>
      <c r="F655" t="s">
        <v>69</v>
      </c>
      <c r="G655">
        <v>1.52</v>
      </c>
      <c r="H655">
        <v>2.5499999999999998</v>
      </c>
      <c r="I655" s="2">
        <v>46175.901423611111</v>
      </c>
    </row>
    <row r="656" spans="1:9" x14ac:dyDescent="0.25">
      <c r="A656">
        <v>129991408</v>
      </c>
      <c r="B656" s="2">
        <v>46181.670138888891</v>
      </c>
      <c r="C656" t="s">
        <v>8</v>
      </c>
      <c r="D656" t="s">
        <v>18</v>
      </c>
      <c r="E656" t="s">
        <v>67</v>
      </c>
      <c r="F656" t="s">
        <v>69</v>
      </c>
      <c r="G656">
        <v>1.5</v>
      </c>
      <c r="H656">
        <v>2.5499999999999998</v>
      </c>
      <c r="I656" s="2">
        <v>46175.901226851849</v>
      </c>
    </row>
    <row r="657" spans="1:9" x14ac:dyDescent="0.25">
      <c r="A657">
        <v>129991408</v>
      </c>
      <c r="B657" s="2">
        <v>46181.670138888891</v>
      </c>
      <c r="C657" t="s">
        <v>8</v>
      </c>
      <c r="D657" t="s">
        <v>18</v>
      </c>
      <c r="E657" t="s">
        <v>62</v>
      </c>
      <c r="F657" t="s">
        <v>69</v>
      </c>
      <c r="G657">
        <v>1.5</v>
      </c>
      <c r="H657">
        <v>2.6</v>
      </c>
      <c r="I657" s="2">
        <v>46175.901446759257</v>
      </c>
    </row>
    <row r="658" spans="1:9" x14ac:dyDescent="0.25">
      <c r="A658">
        <v>129991408</v>
      </c>
      <c r="B658" s="2">
        <v>46181.670138888891</v>
      </c>
      <c r="C658" t="s">
        <v>8</v>
      </c>
      <c r="D658" t="s">
        <v>18</v>
      </c>
      <c r="E658" t="s">
        <v>72</v>
      </c>
      <c r="F658" t="s">
        <v>69</v>
      </c>
      <c r="G658">
        <v>1.55</v>
      </c>
      <c r="H658">
        <v>2.4500000000000002</v>
      </c>
      <c r="I658" s="2">
        <v>46175.901226851849</v>
      </c>
    </row>
    <row r="659" spans="1:9" x14ac:dyDescent="0.25">
      <c r="A659">
        <v>129991408</v>
      </c>
      <c r="B659" s="2">
        <v>46181.670138888891</v>
      </c>
      <c r="C659" t="s">
        <v>8</v>
      </c>
      <c r="D659" t="s">
        <v>18</v>
      </c>
      <c r="E659" t="s">
        <v>73</v>
      </c>
      <c r="F659" t="s">
        <v>69</v>
      </c>
      <c r="G659">
        <v>1.54</v>
      </c>
      <c r="H659">
        <v>2.4300000000000002</v>
      </c>
      <c r="I659" s="2">
        <v>46175.901435185187</v>
      </c>
    </row>
    <row r="660" spans="1:9" x14ac:dyDescent="0.25">
      <c r="A660">
        <v>129991408</v>
      </c>
      <c r="B660" s="2">
        <v>46181.670138888891</v>
      </c>
      <c r="C660" t="s">
        <v>8</v>
      </c>
      <c r="D660" t="s">
        <v>18</v>
      </c>
      <c r="E660" t="s">
        <v>71</v>
      </c>
      <c r="F660" t="s">
        <v>69</v>
      </c>
      <c r="G660">
        <v>1.5</v>
      </c>
      <c r="H660">
        <v>2.6</v>
      </c>
      <c r="I660" s="2">
        <v>46175.90184027778</v>
      </c>
    </row>
    <row r="661" spans="1:9" x14ac:dyDescent="0.25">
      <c r="A661">
        <v>129991408</v>
      </c>
      <c r="B661" s="2">
        <v>46181.670138888891</v>
      </c>
      <c r="C661" t="s">
        <v>8</v>
      </c>
      <c r="D661" t="s">
        <v>18</v>
      </c>
      <c r="E661" t="s">
        <v>64</v>
      </c>
      <c r="F661" t="s">
        <v>69</v>
      </c>
      <c r="G661">
        <v>1.5</v>
      </c>
      <c r="H661">
        <v>2.4</v>
      </c>
      <c r="I661" s="2">
        <v>46175.901875000003</v>
      </c>
    </row>
    <row r="662" spans="1:9" x14ac:dyDescent="0.25">
      <c r="A662">
        <v>129992001</v>
      </c>
      <c r="B662" s="2">
        <v>46219.409722222219</v>
      </c>
      <c r="C662" t="s">
        <v>16</v>
      </c>
      <c r="D662" t="s">
        <v>9</v>
      </c>
      <c r="E662" t="s">
        <v>61</v>
      </c>
      <c r="F662" t="s">
        <v>69</v>
      </c>
      <c r="G662">
        <v>1.2</v>
      </c>
      <c r="H662">
        <v>4.5999999999999996</v>
      </c>
      <c r="I662" s="2">
        <v>46217.564375000002</v>
      </c>
    </row>
    <row r="663" spans="1:9" x14ac:dyDescent="0.25">
      <c r="A663">
        <v>129992001</v>
      </c>
      <c r="B663" s="2">
        <v>46219.409722222219</v>
      </c>
      <c r="C663" t="s">
        <v>16</v>
      </c>
      <c r="D663" t="s">
        <v>9</v>
      </c>
      <c r="E663" t="s">
        <v>62</v>
      </c>
      <c r="F663" t="s">
        <v>69</v>
      </c>
      <c r="G663">
        <v>1.2</v>
      </c>
      <c r="H663">
        <v>4.5</v>
      </c>
      <c r="I663" s="2">
        <v>46217.564386574071</v>
      </c>
    </row>
    <row r="664" spans="1:9" x14ac:dyDescent="0.25">
      <c r="A664">
        <v>129992001</v>
      </c>
      <c r="B664" s="2">
        <v>46219.409722222219</v>
      </c>
      <c r="C664" t="s">
        <v>16</v>
      </c>
      <c r="D664" t="s">
        <v>9</v>
      </c>
      <c r="E664" t="s">
        <v>67</v>
      </c>
      <c r="F664" t="s">
        <v>69</v>
      </c>
      <c r="G664">
        <v>1.18</v>
      </c>
      <c r="H664">
        <v>4.75</v>
      </c>
      <c r="I664" s="2">
        <v>46217.564375000002</v>
      </c>
    </row>
    <row r="665" spans="1:9" x14ac:dyDescent="0.25">
      <c r="A665">
        <v>129992001</v>
      </c>
      <c r="B665" s="2">
        <v>46219.409722222219</v>
      </c>
      <c r="C665" t="s">
        <v>16</v>
      </c>
      <c r="D665" t="s">
        <v>9</v>
      </c>
      <c r="E665" t="s">
        <v>70</v>
      </c>
      <c r="F665" t="s">
        <v>69</v>
      </c>
      <c r="G665">
        <v>1.2</v>
      </c>
      <c r="H665">
        <v>4.5999999999999996</v>
      </c>
      <c r="I665" s="2">
        <v>46217.564363425925</v>
      </c>
    </row>
    <row r="666" spans="1:9" x14ac:dyDescent="0.25">
      <c r="A666">
        <v>129992001</v>
      </c>
      <c r="B666" s="2">
        <v>46219.409722222219</v>
      </c>
      <c r="C666" t="s">
        <v>16</v>
      </c>
      <c r="D666" t="s">
        <v>9</v>
      </c>
      <c r="E666" t="s">
        <v>65</v>
      </c>
      <c r="F666" t="s">
        <v>69</v>
      </c>
      <c r="G666">
        <v>1.2</v>
      </c>
      <c r="H666">
        <v>4.5999999999999996</v>
      </c>
      <c r="I666" s="2">
        <v>46217.564375000002</v>
      </c>
    </row>
    <row r="667" spans="1:9" x14ac:dyDescent="0.25">
      <c r="A667">
        <v>129992001</v>
      </c>
      <c r="B667" s="2">
        <v>46219.409722222219</v>
      </c>
      <c r="C667" t="s">
        <v>16</v>
      </c>
      <c r="D667" t="s">
        <v>9</v>
      </c>
      <c r="E667" t="s">
        <v>71</v>
      </c>
      <c r="F667" t="s">
        <v>69</v>
      </c>
      <c r="G667">
        <v>1.2</v>
      </c>
      <c r="H667">
        <v>4.5</v>
      </c>
      <c r="I667" s="2">
        <v>46217.564398148148</v>
      </c>
    </row>
    <row r="668" spans="1:9" x14ac:dyDescent="0.25">
      <c r="A668">
        <v>129992001</v>
      </c>
      <c r="B668" s="2">
        <v>46219.409722222219</v>
      </c>
      <c r="C668" t="s">
        <v>16</v>
      </c>
      <c r="D668" t="s">
        <v>9</v>
      </c>
      <c r="E668" t="s">
        <v>66</v>
      </c>
      <c r="F668" t="s">
        <v>69</v>
      </c>
      <c r="G668">
        <v>1.2</v>
      </c>
      <c r="H668">
        <v>4.4000000000000004</v>
      </c>
      <c r="I668" s="2">
        <v>46217.564363425925</v>
      </c>
    </row>
    <row r="669" spans="1:9" x14ac:dyDescent="0.25">
      <c r="A669">
        <v>129992001</v>
      </c>
      <c r="B669" s="2">
        <v>46219.409722222219</v>
      </c>
      <c r="C669" t="s">
        <v>16</v>
      </c>
      <c r="D669" t="s">
        <v>9</v>
      </c>
      <c r="E669" t="s">
        <v>72</v>
      </c>
      <c r="F669" t="s">
        <v>69</v>
      </c>
      <c r="G669">
        <v>1.21</v>
      </c>
      <c r="H669">
        <v>4.4000000000000004</v>
      </c>
      <c r="I669" s="2">
        <v>46217.564375000002</v>
      </c>
    </row>
    <row r="670" spans="1:9" x14ac:dyDescent="0.25">
      <c r="A670">
        <v>129992001</v>
      </c>
      <c r="B670" s="2">
        <v>46219.409722222219</v>
      </c>
      <c r="C670" t="s">
        <v>16</v>
      </c>
      <c r="D670" t="s">
        <v>9</v>
      </c>
      <c r="E670" t="s">
        <v>73</v>
      </c>
      <c r="F670" t="s">
        <v>69</v>
      </c>
      <c r="G670">
        <v>1.21</v>
      </c>
      <c r="H670">
        <v>4.3</v>
      </c>
      <c r="I670" s="2">
        <v>46217.564375000002</v>
      </c>
    </row>
    <row r="671" spans="1:9" x14ac:dyDescent="0.25">
      <c r="A671">
        <v>129992001</v>
      </c>
      <c r="B671" s="2">
        <v>46219.409722222219</v>
      </c>
      <c r="C671" t="s">
        <v>16</v>
      </c>
      <c r="D671" t="s">
        <v>9</v>
      </c>
      <c r="E671" t="s">
        <v>63</v>
      </c>
      <c r="F671" t="s">
        <v>69</v>
      </c>
      <c r="G671">
        <v>1.2</v>
      </c>
      <c r="H671">
        <v>4.5999999999999996</v>
      </c>
      <c r="I671" s="2">
        <v>46217.564386574071</v>
      </c>
    </row>
    <row r="672" spans="1:9" x14ac:dyDescent="0.25">
      <c r="A672">
        <v>129992001</v>
      </c>
      <c r="B672" s="2">
        <v>46219.409722222219</v>
      </c>
      <c r="C672" t="s">
        <v>16</v>
      </c>
      <c r="D672" t="s">
        <v>9</v>
      </c>
      <c r="E672" t="s">
        <v>64</v>
      </c>
      <c r="F672" t="s">
        <v>69</v>
      </c>
      <c r="G672">
        <v>1.23</v>
      </c>
      <c r="H672">
        <v>4.9000000000000004</v>
      </c>
      <c r="I672" s="2">
        <v>46217.56459490741</v>
      </c>
    </row>
    <row r="673" spans="1:9" x14ac:dyDescent="0.25">
      <c r="A673">
        <v>129992002</v>
      </c>
      <c r="B673" s="2">
        <v>46220.333333333336</v>
      </c>
      <c r="C673" t="s">
        <v>6</v>
      </c>
      <c r="D673" t="s">
        <v>17</v>
      </c>
      <c r="E673" t="s">
        <v>61</v>
      </c>
      <c r="F673" t="s">
        <v>69</v>
      </c>
      <c r="G673">
        <v>1.58</v>
      </c>
      <c r="H673">
        <v>2.39</v>
      </c>
      <c r="I673" s="2">
        <v>46217.564375000002</v>
      </c>
    </row>
    <row r="674" spans="1:9" x14ac:dyDescent="0.25">
      <c r="A674">
        <v>129992002</v>
      </c>
      <c r="B674" s="2">
        <v>46220.333333333336</v>
      </c>
      <c r="C674" t="s">
        <v>6</v>
      </c>
      <c r="D674" t="s">
        <v>17</v>
      </c>
      <c r="E674" t="s">
        <v>62</v>
      </c>
      <c r="F674" t="s">
        <v>69</v>
      </c>
      <c r="G674">
        <v>1.55</v>
      </c>
      <c r="H674">
        <v>2.4500000000000002</v>
      </c>
      <c r="I674" s="2">
        <v>46217.564386574071</v>
      </c>
    </row>
    <row r="675" spans="1:9" x14ac:dyDescent="0.25">
      <c r="A675">
        <v>129992002</v>
      </c>
      <c r="B675" s="2">
        <v>46220.333333333336</v>
      </c>
      <c r="C675" t="s">
        <v>6</v>
      </c>
      <c r="D675" t="s">
        <v>17</v>
      </c>
      <c r="E675" t="s">
        <v>67</v>
      </c>
      <c r="F675" t="s">
        <v>69</v>
      </c>
      <c r="G675">
        <v>1.57</v>
      </c>
      <c r="H675">
        <v>2.35</v>
      </c>
      <c r="I675" s="2">
        <v>46217.564375000002</v>
      </c>
    </row>
    <row r="676" spans="1:9" x14ac:dyDescent="0.25">
      <c r="A676">
        <v>129992002</v>
      </c>
      <c r="B676" s="2">
        <v>46220.333333333336</v>
      </c>
      <c r="C676" t="s">
        <v>6</v>
      </c>
      <c r="D676" t="s">
        <v>17</v>
      </c>
      <c r="E676" t="s">
        <v>70</v>
      </c>
      <c r="F676" t="s">
        <v>69</v>
      </c>
      <c r="G676">
        <v>1.55</v>
      </c>
      <c r="H676">
        <v>2.4500000000000002</v>
      </c>
      <c r="I676" s="2">
        <v>46217.564363425925</v>
      </c>
    </row>
    <row r="677" spans="1:9" x14ac:dyDescent="0.25">
      <c r="A677">
        <v>129992002</v>
      </c>
      <c r="B677" s="2">
        <v>46220.333333333336</v>
      </c>
      <c r="C677" t="s">
        <v>6</v>
      </c>
      <c r="D677" t="s">
        <v>17</v>
      </c>
      <c r="E677" t="s">
        <v>65</v>
      </c>
      <c r="F677" t="s">
        <v>69</v>
      </c>
      <c r="G677">
        <v>1.55</v>
      </c>
      <c r="H677">
        <v>2.4500000000000002</v>
      </c>
      <c r="I677" s="2">
        <v>46217.564375000002</v>
      </c>
    </row>
    <row r="678" spans="1:9" x14ac:dyDescent="0.25">
      <c r="A678">
        <v>129992002</v>
      </c>
      <c r="B678" s="2">
        <v>46220.333333333336</v>
      </c>
      <c r="C678" t="s">
        <v>6</v>
      </c>
      <c r="D678" t="s">
        <v>17</v>
      </c>
      <c r="E678" t="s">
        <v>71</v>
      </c>
      <c r="F678" t="s">
        <v>69</v>
      </c>
      <c r="G678">
        <v>1.55</v>
      </c>
      <c r="H678">
        <v>2.4500000000000002</v>
      </c>
      <c r="I678" s="2">
        <v>46217.564398148148</v>
      </c>
    </row>
    <row r="679" spans="1:9" x14ac:dyDescent="0.25">
      <c r="A679">
        <v>129992002</v>
      </c>
      <c r="B679" s="2">
        <v>46220.333333333336</v>
      </c>
      <c r="C679" t="s">
        <v>6</v>
      </c>
      <c r="D679" t="s">
        <v>17</v>
      </c>
      <c r="E679" t="s">
        <v>66</v>
      </c>
      <c r="F679" t="s">
        <v>69</v>
      </c>
      <c r="G679">
        <v>1.58</v>
      </c>
      <c r="H679">
        <v>2.4</v>
      </c>
      <c r="I679" s="2">
        <v>46217.564363425925</v>
      </c>
    </row>
    <row r="680" spans="1:9" x14ac:dyDescent="0.25">
      <c r="A680">
        <v>129992002</v>
      </c>
      <c r="B680" s="2">
        <v>46220.333333333336</v>
      </c>
      <c r="C680" t="s">
        <v>6</v>
      </c>
      <c r="D680" t="s">
        <v>17</v>
      </c>
      <c r="E680" t="s">
        <v>72</v>
      </c>
      <c r="F680" t="s">
        <v>69</v>
      </c>
      <c r="G680">
        <v>1.54</v>
      </c>
      <c r="H680">
        <v>2.48</v>
      </c>
      <c r="I680" s="2">
        <v>46217.564375000002</v>
      </c>
    </row>
    <row r="681" spans="1:9" x14ac:dyDescent="0.25">
      <c r="A681">
        <v>129992002</v>
      </c>
      <c r="B681" s="2">
        <v>46220.333333333336</v>
      </c>
      <c r="C681" t="s">
        <v>6</v>
      </c>
      <c r="D681" t="s">
        <v>17</v>
      </c>
      <c r="E681" t="s">
        <v>73</v>
      </c>
      <c r="F681" t="s">
        <v>69</v>
      </c>
      <c r="G681">
        <v>1.53</v>
      </c>
      <c r="H681">
        <v>2.4500000000000002</v>
      </c>
      <c r="I681" s="2">
        <v>46217.564375000002</v>
      </c>
    </row>
    <row r="682" spans="1:9" x14ac:dyDescent="0.25">
      <c r="A682">
        <v>129992002</v>
      </c>
      <c r="B682" s="2">
        <v>46220.333333333336</v>
      </c>
      <c r="C682" t="s">
        <v>6</v>
      </c>
      <c r="D682" t="s">
        <v>17</v>
      </c>
      <c r="E682" t="s">
        <v>63</v>
      </c>
      <c r="F682" t="s">
        <v>69</v>
      </c>
      <c r="G682">
        <v>1.57</v>
      </c>
      <c r="H682">
        <v>2.4</v>
      </c>
      <c r="I682" s="2">
        <v>46217.564386574071</v>
      </c>
    </row>
    <row r="683" spans="1:9" x14ac:dyDescent="0.25">
      <c r="A683">
        <v>129992002</v>
      </c>
      <c r="B683" s="2">
        <v>46220.333333333336</v>
      </c>
      <c r="C683" t="s">
        <v>6</v>
      </c>
      <c r="D683" t="s">
        <v>17</v>
      </c>
      <c r="E683" t="s">
        <v>64</v>
      </c>
      <c r="F683" t="s">
        <v>69</v>
      </c>
      <c r="G683">
        <v>1.61</v>
      </c>
      <c r="H683">
        <v>1.01</v>
      </c>
      <c r="I683" s="2">
        <v>46217.56459490741</v>
      </c>
    </row>
    <row r="684" spans="1:9" x14ac:dyDescent="0.25">
      <c r="A684">
        <v>129992003</v>
      </c>
      <c r="B684" s="2">
        <v>46220.416666666664</v>
      </c>
      <c r="C684" t="s">
        <v>10</v>
      </c>
      <c r="D684" t="s">
        <v>15</v>
      </c>
      <c r="E684" t="s">
        <v>61</v>
      </c>
      <c r="F684" t="s">
        <v>69</v>
      </c>
      <c r="G684">
        <v>1.29</v>
      </c>
      <c r="H684">
        <v>3.64</v>
      </c>
      <c r="I684" s="2">
        <v>46217.564375000002</v>
      </c>
    </row>
    <row r="685" spans="1:9" x14ac:dyDescent="0.25">
      <c r="A685">
        <v>129992003</v>
      </c>
      <c r="B685" s="2">
        <v>46220.416666666664</v>
      </c>
      <c r="C685" t="s">
        <v>10</v>
      </c>
      <c r="D685" t="s">
        <v>15</v>
      </c>
      <c r="E685" t="s">
        <v>62</v>
      </c>
      <c r="F685" t="s">
        <v>69</v>
      </c>
      <c r="G685">
        <v>1.28</v>
      </c>
      <c r="H685">
        <v>3.7</v>
      </c>
      <c r="I685" s="2">
        <v>46217.564386574071</v>
      </c>
    </row>
    <row r="686" spans="1:9" x14ac:dyDescent="0.25">
      <c r="A686">
        <v>129992003</v>
      </c>
      <c r="B686" s="2">
        <v>46220.416666666664</v>
      </c>
      <c r="C686" t="s">
        <v>10</v>
      </c>
      <c r="D686" t="s">
        <v>15</v>
      </c>
      <c r="E686" t="s">
        <v>65</v>
      </c>
      <c r="F686" t="s">
        <v>69</v>
      </c>
      <c r="G686">
        <v>1.28</v>
      </c>
      <c r="H686">
        <v>3.75</v>
      </c>
      <c r="I686" s="2">
        <v>46217.564375000002</v>
      </c>
    </row>
    <row r="687" spans="1:9" x14ac:dyDescent="0.25">
      <c r="A687">
        <v>129992003</v>
      </c>
      <c r="B687" s="2">
        <v>46220.416666666664</v>
      </c>
      <c r="C687" t="s">
        <v>10</v>
      </c>
      <c r="D687" t="s">
        <v>15</v>
      </c>
      <c r="E687" t="s">
        <v>70</v>
      </c>
      <c r="F687" t="s">
        <v>69</v>
      </c>
      <c r="G687">
        <v>1.28</v>
      </c>
      <c r="H687">
        <v>3.75</v>
      </c>
      <c r="I687" s="2">
        <v>46217.564363425925</v>
      </c>
    </row>
    <row r="688" spans="1:9" x14ac:dyDescent="0.25">
      <c r="A688">
        <v>129992003</v>
      </c>
      <c r="B688" s="2">
        <v>46220.416666666664</v>
      </c>
      <c r="C688" t="s">
        <v>10</v>
      </c>
      <c r="D688" t="s">
        <v>15</v>
      </c>
      <c r="E688" t="s">
        <v>67</v>
      </c>
      <c r="F688" t="s">
        <v>69</v>
      </c>
      <c r="G688">
        <v>1.25</v>
      </c>
      <c r="H688">
        <v>3.85</v>
      </c>
      <c r="I688" s="2">
        <v>46217.564375000002</v>
      </c>
    </row>
    <row r="689" spans="1:9" x14ac:dyDescent="0.25">
      <c r="A689">
        <v>129992003</v>
      </c>
      <c r="B689" s="2">
        <v>46220.416666666664</v>
      </c>
      <c r="C689" t="s">
        <v>10</v>
      </c>
      <c r="D689" t="s">
        <v>15</v>
      </c>
      <c r="E689" t="s">
        <v>71</v>
      </c>
      <c r="F689" t="s">
        <v>69</v>
      </c>
      <c r="G689">
        <v>1.28</v>
      </c>
      <c r="H689">
        <v>3.65</v>
      </c>
      <c r="I689" s="2">
        <v>46217.564398148148</v>
      </c>
    </row>
    <row r="690" spans="1:9" x14ac:dyDescent="0.25">
      <c r="A690">
        <v>129992003</v>
      </c>
      <c r="B690" s="2">
        <v>46220.416666666664</v>
      </c>
      <c r="C690" t="s">
        <v>10</v>
      </c>
      <c r="D690" t="s">
        <v>15</v>
      </c>
      <c r="E690" t="s">
        <v>66</v>
      </c>
      <c r="F690" t="s">
        <v>69</v>
      </c>
      <c r="G690">
        <v>1.3</v>
      </c>
      <c r="H690">
        <v>3.5</v>
      </c>
      <c r="I690" s="2">
        <v>46217.564363425925</v>
      </c>
    </row>
    <row r="691" spans="1:9" x14ac:dyDescent="0.25">
      <c r="A691">
        <v>129992003</v>
      </c>
      <c r="B691" s="2">
        <v>46220.416666666664</v>
      </c>
      <c r="C691" t="s">
        <v>10</v>
      </c>
      <c r="D691" t="s">
        <v>15</v>
      </c>
      <c r="E691" t="s">
        <v>72</v>
      </c>
      <c r="F691" t="s">
        <v>69</v>
      </c>
      <c r="G691">
        <v>1.28</v>
      </c>
      <c r="H691">
        <v>3.7</v>
      </c>
      <c r="I691" s="2">
        <v>46217.564375000002</v>
      </c>
    </row>
    <row r="692" spans="1:9" x14ac:dyDescent="0.25">
      <c r="A692">
        <v>129992003</v>
      </c>
      <c r="B692" s="2">
        <v>46220.416666666664</v>
      </c>
      <c r="C692" t="s">
        <v>10</v>
      </c>
      <c r="D692" t="s">
        <v>15</v>
      </c>
      <c r="E692" t="s">
        <v>73</v>
      </c>
      <c r="F692" t="s">
        <v>69</v>
      </c>
      <c r="G692">
        <v>1.28</v>
      </c>
      <c r="H692">
        <v>3.65</v>
      </c>
      <c r="I692" s="2">
        <v>46217.564375000002</v>
      </c>
    </row>
    <row r="693" spans="1:9" x14ac:dyDescent="0.25">
      <c r="A693">
        <v>129992003</v>
      </c>
      <c r="B693" s="2">
        <v>46220.416666666664</v>
      </c>
      <c r="C693" t="s">
        <v>10</v>
      </c>
      <c r="D693" t="s">
        <v>15</v>
      </c>
      <c r="E693" t="s">
        <v>63</v>
      </c>
      <c r="F693" t="s">
        <v>69</v>
      </c>
      <c r="G693">
        <v>1.28</v>
      </c>
      <c r="H693">
        <v>3.7</v>
      </c>
      <c r="I693" s="2">
        <v>46217.564386574071</v>
      </c>
    </row>
    <row r="694" spans="1:9" x14ac:dyDescent="0.25">
      <c r="A694">
        <v>129992003</v>
      </c>
      <c r="B694" s="2">
        <v>46220.416666666664</v>
      </c>
      <c r="C694" t="s">
        <v>10</v>
      </c>
      <c r="D694" t="s">
        <v>15</v>
      </c>
      <c r="E694" t="s">
        <v>64</v>
      </c>
      <c r="F694" t="s">
        <v>69</v>
      </c>
      <c r="G694">
        <v>1.29</v>
      </c>
      <c r="H694">
        <v>2.74</v>
      </c>
      <c r="I694" s="2">
        <v>46217.56459490741</v>
      </c>
    </row>
    <row r="695" spans="1:9" x14ac:dyDescent="0.25">
      <c r="A695">
        <v>129992004</v>
      </c>
      <c r="B695" s="2">
        <v>46221.208333333336</v>
      </c>
      <c r="C695" t="s">
        <v>4</v>
      </c>
      <c r="D695" t="s">
        <v>14</v>
      </c>
      <c r="E695" t="s">
        <v>61</v>
      </c>
      <c r="F695" t="s">
        <v>69</v>
      </c>
      <c r="G695">
        <v>1.82</v>
      </c>
      <c r="H695">
        <v>2.02</v>
      </c>
      <c r="I695" s="2">
        <v>46217.564375000002</v>
      </c>
    </row>
    <row r="696" spans="1:9" x14ac:dyDescent="0.25">
      <c r="A696">
        <v>129992004</v>
      </c>
      <c r="B696" s="2">
        <v>46221.208333333336</v>
      </c>
      <c r="C696" t="s">
        <v>4</v>
      </c>
      <c r="D696" t="s">
        <v>14</v>
      </c>
      <c r="E696" t="s">
        <v>66</v>
      </c>
      <c r="F696" t="s">
        <v>69</v>
      </c>
      <c r="G696">
        <v>1.85</v>
      </c>
      <c r="H696">
        <v>1.95</v>
      </c>
      <c r="I696" s="2">
        <v>46217.564363425925</v>
      </c>
    </row>
    <row r="697" spans="1:9" x14ac:dyDescent="0.25">
      <c r="A697">
        <v>129992004</v>
      </c>
      <c r="B697" s="2">
        <v>46221.208333333336</v>
      </c>
      <c r="C697" t="s">
        <v>4</v>
      </c>
      <c r="D697" t="s">
        <v>14</v>
      </c>
      <c r="E697" t="s">
        <v>62</v>
      </c>
      <c r="F697" t="s">
        <v>69</v>
      </c>
      <c r="G697">
        <v>1.85</v>
      </c>
      <c r="H697">
        <v>1.95</v>
      </c>
      <c r="I697" s="2">
        <v>46217.564386574071</v>
      </c>
    </row>
    <row r="698" spans="1:9" x14ac:dyDescent="0.25">
      <c r="A698">
        <v>129992004</v>
      </c>
      <c r="B698" s="2">
        <v>46221.208333333336</v>
      </c>
      <c r="C698" t="s">
        <v>4</v>
      </c>
      <c r="D698" t="s">
        <v>14</v>
      </c>
      <c r="E698" t="s">
        <v>65</v>
      </c>
      <c r="F698" t="s">
        <v>69</v>
      </c>
      <c r="G698">
        <v>1.82</v>
      </c>
      <c r="H698">
        <v>2</v>
      </c>
      <c r="I698" s="2">
        <v>46217.564375000002</v>
      </c>
    </row>
    <row r="699" spans="1:9" x14ac:dyDescent="0.25">
      <c r="A699">
        <v>129992004</v>
      </c>
      <c r="B699" s="2">
        <v>46221.208333333336</v>
      </c>
      <c r="C699" t="s">
        <v>4</v>
      </c>
      <c r="D699" t="s">
        <v>14</v>
      </c>
      <c r="E699" t="s">
        <v>70</v>
      </c>
      <c r="F699" t="s">
        <v>69</v>
      </c>
      <c r="G699">
        <v>1.82</v>
      </c>
      <c r="H699">
        <v>2</v>
      </c>
      <c r="I699" s="2">
        <v>46217.564363425925</v>
      </c>
    </row>
    <row r="700" spans="1:9" x14ac:dyDescent="0.25">
      <c r="A700">
        <v>129992004</v>
      </c>
      <c r="B700" s="2">
        <v>46221.208333333336</v>
      </c>
      <c r="C700" t="s">
        <v>4</v>
      </c>
      <c r="D700" t="s">
        <v>14</v>
      </c>
      <c r="E700" t="s">
        <v>67</v>
      </c>
      <c r="F700" t="s">
        <v>69</v>
      </c>
      <c r="G700">
        <v>1.8</v>
      </c>
      <c r="H700">
        <v>2</v>
      </c>
      <c r="I700" s="2">
        <v>46217.564375000002</v>
      </c>
    </row>
    <row r="701" spans="1:9" x14ac:dyDescent="0.25">
      <c r="A701">
        <v>129992004</v>
      </c>
      <c r="B701" s="2">
        <v>46221.208333333336</v>
      </c>
      <c r="C701" t="s">
        <v>4</v>
      </c>
      <c r="D701" t="s">
        <v>14</v>
      </c>
      <c r="E701" t="s">
        <v>71</v>
      </c>
      <c r="F701" t="s">
        <v>69</v>
      </c>
      <c r="G701">
        <v>1.85</v>
      </c>
      <c r="H701">
        <v>1.95</v>
      </c>
      <c r="I701" s="2">
        <v>46217.564398148148</v>
      </c>
    </row>
    <row r="702" spans="1:9" x14ac:dyDescent="0.25">
      <c r="A702">
        <v>129992004</v>
      </c>
      <c r="B702" s="2">
        <v>46221.208333333336</v>
      </c>
      <c r="C702" t="s">
        <v>4</v>
      </c>
      <c r="D702" t="s">
        <v>14</v>
      </c>
      <c r="E702" t="s">
        <v>72</v>
      </c>
      <c r="F702" t="s">
        <v>69</v>
      </c>
      <c r="G702">
        <v>1.82</v>
      </c>
      <c r="H702">
        <v>2</v>
      </c>
      <c r="I702" s="2">
        <v>46217.564375000002</v>
      </c>
    </row>
    <row r="703" spans="1:9" x14ac:dyDescent="0.25">
      <c r="A703">
        <v>129992004</v>
      </c>
      <c r="B703" s="2">
        <v>46221.208333333336</v>
      </c>
      <c r="C703" t="s">
        <v>4</v>
      </c>
      <c r="D703" t="s">
        <v>14</v>
      </c>
      <c r="E703" t="s">
        <v>73</v>
      </c>
      <c r="F703" t="s">
        <v>69</v>
      </c>
      <c r="G703">
        <v>1.81</v>
      </c>
      <c r="H703">
        <v>1.98</v>
      </c>
      <c r="I703" s="2">
        <v>46217.564375000002</v>
      </c>
    </row>
    <row r="704" spans="1:9" x14ac:dyDescent="0.25">
      <c r="A704">
        <v>129992004</v>
      </c>
      <c r="B704" s="2">
        <v>46221.208333333336</v>
      </c>
      <c r="C704" t="s">
        <v>4</v>
      </c>
      <c r="D704" t="s">
        <v>14</v>
      </c>
      <c r="E704" t="s">
        <v>63</v>
      </c>
      <c r="F704" t="s">
        <v>69</v>
      </c>
      <c r="G704">
        <v>1.8</v>
      </c>
      <c r="H704">
        <v>2</v>
      </c>
      <c r="I704" s="2">
        <v>46217.564386574071</v>
      </c>
    </row>
    <row r="705" spans="1:9" x14ac:dyDescent="0.25">
      <c r="A705">
        <v>129992004</v>
      </c>
      <c r="B705" s="2">
        <v>46221.208333333336</v>
      </c>
      <c r="C705" t="s">
        <v>4</v>
      </c>
      <c r="D705" t="s">
        <v>14</v>
      </c>
      <c r="E705" t="s">
        <v>64</v>
      </c>
      <c r="F705" t="s">
        <v>69</v>
      </c>
      <c r="G705">
        <v>1.85</v>
      </c>
      <c r="H705">
        <v>1.01</v>
      </c>
      <c r="I705" s="2">
        <v>46217.56459490741</v>
      </c>
    </row>
    <row r="706" spans="1:9" x14ac:dyDescent="0.25">
      <c r="A706">
        <v>129992005</v>
      </c>
      <c r="B706" s="2">
        <v>46221.315972222219</v>
      </c>
      <c r="C706" t="s">
        <v>13</v>
      </c>
      <c r="D706" t="s">
        <v>11</v>
      </c>
      <c r="E706" t="s">
        <v>61</v>
      </c>
      <c r="F706" t="s">
        <v>69</v>
      </c>
      <c r="G706">
        <v>1.18</v>
      </c>
      <c r="H706">
        <v>4.9000000000000004</v>
      </c>
      <c r="I706" s="2">
        <v>46217.564375000002</v>
      </c>
    </row>
    <row r="707" spans="1:9" x14ac:dyDescent="0.25">
      <c r="A707">
        <v>129992005</v>
      </c>
      <c r="B707" s="2">
        <v>46221.315972222219</v>
      </c>
      <c r="C707" t="s">
        <v>13</v>
      </c>
      <c r="D707" t="s">
        <v>11</v>
      </c>
      <c r="E707" t="s">
        <v>66</v>
      </c>
      <c r="F707" t="s">
        <v>69</v>
      </c>
      <c r="G707">
        <v>1.17</v>
      </c>
      <c r="H707">
        <v>5.15</v>
      </c>
      <c r="I707" s="2">
        <v>46217.564363425925</v>
      </c>
    </row>
    <row r="708" spans="1:9" x14ac:dyDescent="0.25">
      <c r="A708">
        <v>129992005</v>
      </c>
      <c r="B708" s="2">
        <v>46221.315972222219</v>
      </c>
      <c r="C708" t="s">
        <v>13</v>
      </c>
      <c r="D708" t="s">
        <v>11</v>
      </c>
      <c r="E708" t="s">
        <v>62</v>
      </c>
      <c r="F708" t="s">
        <v>69</v>
      </c>
      <c r="G708">
        <v>1.18</v>
      </c>
      <c r="H708">
        <v>4.8</v>
      </c>
      <c r="I708" s="2">
        <v>46217.564386574071</v>
      </c>
    </row>
    <row r="709" spans="1:9" x14ac:dyDescent="0.25">
      <c r="A709">
        <v>129992005</v>
      </c>
      <c r="B709" s="2">
        <v>46221.315972222219</v>
      </c>
      <c r="C709" t="s">
        <v>13</v>
      </c>
      <c r="D709" t="s">
        <v>11</v>
      </c>
      <c r="E709" t="s">
        <v>70</v>
      </c>
      <c r="F709" t="s">
        <v>69</v>
      </c>
      <c r="G709">
        <v>1.1599999999999999</v>
      </c>
      <c r="H709">
        <v>5.2</v>
      </c>
      <c r="I709" s="2">
        <v>46217.564363425925</v>
      </c>
    </row>
    <row r="710" spans="1:9" x14ac:dyDescent="0.25">
      <c r="A710">
        <v>129992005</v>
      </c>
      <c r="B710" s="2">
        <v>46221.315972222219</v>
      </c>
      <c r="C710" t="s">
        <v>13</v>
      </c>
      <c r="D710" t="s">
        <v>11</v>
      </c>
      <c r="E710" t="s">
        <v>65</v>
      </c>
      <c r="F710" t="s">
        <v>69</v>
      </c>
      <c r="G710">
        <v>1.1599999999999999</v>
      </c>
      <c r="H710">
        <v>5.2</v>
      </c>
      <c r="I710" s="2">
        <v>46217.564375000002</v>
      </c>
    </row>
    <row r="711" spans="1:9" x14ac:dyDescent="0.25">
      <c r="A711">
        <v>129992005</v>
      </c>
      <c r="B711" s="2">
        <v>46221.315972222219</v>
      </c>
      <c r="C711" t="s">
        <v>13</v>
      </c>
      <c r="D711" t="s">
        <v>11</v>
      </c>
      <c r="E711" t="s">
        <v>67</v>
      </c>
      <c r="F711" t="s">
        <v>69</v>
      </c>
      <c r="G711">
        <v>1.1599999999999999</v>
      </c>
      <c r="H711">
        <v>5</v>
      </c>
      <c r="I711" s="2">
        <v>46217.564375000002</v>
      </c>
    </row>
    <row r="712" spans="1:9" x14ac:dyDescent="0.25">
      <c r="A712">
        <v>129992005</v>
      </c>
      <c r="B712" s="2">
        <v>46221.315972222219</v>
      </c>
      <c r="C712" t="s">
        <v>13</v>
      </c>
      <c r="D712" t="s">
        <v>11</v>
      </c>
      <c r="E712" t="s">
        <v>71</v>
      </c>
      <c r="F712" t="s">
        <v>69</v>
      </c>
      <c r="G712">
        <v>1.18</v>
      </c>
      <c r="H712">
        <v>4.8499999999999996</v>
      </c>
      <c r="I712" s="2">
        <v>46217.564398148148</v>
      </c>
    </row>
    <row r="713" spans="1:9" x14ac:dyDescent="0.25">
      <c r="A713">
        <v>129992005</v>
      </c>
      <c r="B713" s="2">
        <v>46221.315972222219</v>
      </c>
      <c r="C713" t="s">
        <v>13</v>
      </c>
      <c r="D713" t="s">
        <v>11</v>
      </c>
      <c r="E713" t="s">
        <v>72</v>
      </c>
      <c r="F713" t="s">
        <v>69</v>
      </c>
      <c r="G713">
        <v>1.2</v>
      </c>
      <c r="H713">
        <v>4.5999999999999996</v>
      </c>
      <c r="I713" s="2">
        <v>46217.564375000002</v>
      </c>
    </row>
    <row r="714" spans="1:9" x14ac:dyDescent="0.25">
      <c r="A714">
        <v>129992005</v>
      </c>
      <c r="B714" s="2">
        <v>46221.315972222219</v>
      </c>
      <c r="C714" t="s">
        <v>13</v>
      </c>
      <c r="D714" t="s">
        <v>11</v>
      </c>
      <c r="E714" t="s">
        <v>73</v>
      </c>
      <c r="F714" t="s">
        <v>69</v>
      </c>
      <c r="G714">
        <v>1.2</v>
      </c>
      <c r="H714">
        <v>4.5</v>
      </c>
      <c r="I714" s="2">
        <v>46217.564375000002</v>
      </c>
    </row>
    <row r="715" spans="1:9" x14ac:dyDescent="0.25">
      <c r="A715">
        <v>129992005</v>
      </c>
      <c r="B715" s="2">
        <v>46221.315972222219</v>
      </c>
      <c r="C715" t="s">
        <v>13</v>
      </c>
      <c r="D715" t="s">
        <v>11</v>
      </c>
      <c r="E715" t="s">
        <v>63</v>
      </c>
      <c r="F715" t="s">
        <v>69</v>
      </c>
      <c r="G715">
        <v>1.18</v>
      </c>
      <c r="H715">
        <v>4.9000000000000004</v>
      </c>
      <c r="I715" s="2">
        <v>46217.564386574071</v>
      </c>
    </row>
    <row r="716" spans="1:9" x14ac:dyDescent="0.25">
      <c r="A716">
        <v>129992005</v>
      </c>
      <c r="B716" s="2">
        <v>46221.315972222219</v>
      </c>
      <c r="C716" t="s">
        <v>13</v>
      </c>
      <c r="D716" t="s">
        <v>11</v>
      </c>
      <c r="E716" t="s">
        <v>64</v>
      </c>
      <c r="F716" t="s">
        <v>69</v>
      </c>
      <c r="G716">
        <v>1.21</v>
      </c>
      <c r="H716">
        <v>1.01</v>
      </c>
      <c r="I716" s="2">
        <v>46217.56459490741</v>
      </c>
    </row>
    <row r="717" spans="1:9" x14ac:dyDescent="0.25">
      <c r="A717">
        <v>129992006</v>
      </c>
      <c r="B717" s="2">
        <v>46221.399305555555</v>
      </c>
      <c r="C717" t="s">
        <v>8</v>
      </c>
      <c r="D717" t="s">
        <v>5</v>
      </c>
      <c r="E717" t="s">
        <v>61</v>
      </c>
      <c r="F717" t="s">
        <v>69</v>
      </c>
      <c r="G717">
        <v>1.5</v>
      </c>
      <c r="H717">
        <v>2.6</v>
      </c>
      <c r="I717" s="2">
        <v>46217.564375000002</v>
      </c>
    </row>
    <row r="718" spans="1:9" x14ac:dyDescent="0.25">
      <c r="A718">
        <v>129992006</v>
      </c>
      <c r="B718" s="2">
        <v>46221.399305555555</v>
      </c>
      <c r="C718" t="s">
        <v>8</v>
      </c>
      <c r="D718" t="s">
        <v>5</v>
      </c>
      <c r="E718" t="s">
        <v>66</v>
      </c>
      <c r="F718" t="s">
        <v>69</v>
      </c>
      <c r="G718">
        <v>1.5</v>
      </c>
      <c r="H718">
        <v>2.6</v>
      </c>
      <c r="I718" s="2">
        <v>46217.564363425925</v>
      </c>
    </row>
    <row r="719" spans="1:9" x14ac:dyDescent="0.25">
      <c r="A719">
        <v>129992006</v>
      </c>
      <c r="B719" s="2">
        <v>46221.399305555555</v>
      </c>
      <c r="C719" t="s">
        <v>8</v>
      </c>
      <c r="D719" t="s">
        <v>5</v>
      </c>
      <c r="E719" t="s">
        <v>62</v>
      </c>
      <c r="F719" t="s">
        <v>69</v>
      </c>
      <c r="G719">
        <v>1.48</v>
      </c>
      <c r="H719">
        <v>2.65</v>
      </c>
      <c r="I719" s="2">
        <v>46217.564386574071</v>
      </c>
    </row>
    <row r="720" spans="1:9" x14ac:dyDescent="0.25">
      <c r="A720">
        <v>129992006</v>
      </c>
      <c r="B720" s="2">
        <v>46221.399305555555</v>
      </c>
      <c r="C720" t="s">
        <v>8</v>
      </c>
      <c r="D720" t="s">
        <v>5</v>
      </c>
      <c r="E720" t="s">
        <v>65</v>
      </c>
      <c r="F720" t="s">
        <v>69</v>
      </c>
      <c r="G720">
        <v>1.57</v>
      </c>
      <c r="H720">
        <v>2.4500000000000002</v>
      </c>
      <c r="I720" s="2">
        <v>46217.564375000002</v>
      </c>
    </row>
    <row r="721" spans="1:9" x14ac:dyDescent="0.25">
      <c r="A721">
        <v>129992006</v>
      </c>
      <c r="B721" s="2">
        <v>46221.399305555555</v>
      </c>
      <c r="C721" t="s">
        <v>8</v>
      </c>
      <c r="D721" t="s">
        <v>5</v>
      </c>
      <c r="E721" t="s">
        <v>70</v>
      </c>
      <c r="F721" t="s">
        <v>69</v>
      </c>
      <c r="G721">
        <v>1.57</v>
      </c>
      <c r="H721">
        <v>2.4500000000000002</v>
      </c>
      <c r="I721" s="2">
        <v>46217.564363425925</v>
      </c>
    </row>
    <row r="722" spans="1:9" x14ac:dyDescent="0.25">
      <c r="A722">
        <v>129992006</v>
      </c>
      <c r="B722" s="2">
        <v>46221.399305555555</v>
      </c>
      <c r="C722" t="s">
        <v>8</v>
      </c>
      <c r="D722" t="s">
        <v>5</v>
      </c>
      <c r="E722" t="s">
        <v>67</v>
      </c>
      <c r="F722" t="s">
        <v>69</v>
      </c>
      <c r="G722">
        <v>1.48</v>
      </c>
      <c r="H722">
        <v>2.6</v>
      </c>
      <c r="I722" s="2">
        <v>46217.564375000002</v>
      </c>
    </row>
    <row r="723" spans="1:9" x14ac:dyDescent="0.25">
      <c r="A723">
        <v>129992006</v>
      </c>
      <c r="B723" s="2">
        <v>46221.399305555555</v>
      </c>
      <c r="C723" t="s">
        <v>8</v>
      </c>
      <c r="D723" t="s">
        <v>5</v>
      </c>
      <c r="E723" t="s">
        <v>71</v>
      </c>
      <c r="F723" t="s">
        <v>69</v>
      </c>
      <c r="G723">
        <v>1.48</v>
      </c>
      <c r="H723">
        <v>2.65</v>
      </c>
      <c r="I723" s="2">
        <v>46217.564398148148</v>
      </c>
    </row>
    <row r="724" spans="1:9" x14ac:dyDescent="0.25">
      <c r="A724">
        <v>129992006</v>
      </c>
      <c r="B724" s="2">
        <v>46221.399305555555</v>
      </c>
      <c r="C724" t="s">
        <v>8</v>
      </c>
      <c r="D724" t="s">
        <v>5</v>
      </c>
      <c r="E724" t="s">
        <v>72</v>
      </c>
      <c r="F724" t="s">
        <v>69</v>
      </c>
      <c r="G724">
        <v>1.49</v>
      </c>
      <c r="H724">
        <v>2.63</v>
      </c>
      <c r="I724" s="2">
        <v>46217.564375000002</v>
      </c>
    </row>
    <row r="725" spans="1:9" x14ac:dyDescent="0.25">
      <c r="A725">
        <v>129992006</v>
      </c>
      <c r="B725" s="2">
        <v>46221.399305555555</v>
      </c>
      <c r="C725" t="s">
        <v>8</v>
      </c>
      <c r="D725" t="s">
        <v>5</v>
      </c>
      <c r="E725" t="s">
        <v>73</v>
      </c>
      <c r="F725" t="s">
        <v>69</v>
      </c>
      <c r="G725">
        <v>1.48</v>
      </c>
      <c r="H725">
        <v>2.63</v>
      </c>
      <c r="I725" s="2">
        <v>46217.564375000002</v>
      </c>
    </row>
    <row r="726" spans="1:9" x14ac:dyDescent="0.25">
      <c r="A726">
        <v>129992006</v>
      </c>
      <c r="B726" s="2">
        <v>46221.399305555555</v>
      </c>
      <c r="C726" t="s">
        <v>8</v>
      </c>
      <c r="D726" t="s">
        <v>5</v>
      </c>
      <c r="E726" t="s">
        <v>63</v>
      </c>
      <c r="F726" t="s">
        <v>69</v>
      </c>
      <c r="G726">
        <v>1.5</v>
      </c>
      <c r="H726">
        <v>2.6</v>
      </c>
      <c r="I726" s="2">
        <v>46217.564386574071</v>
      </c>
    </row>
    <row r="727" spans="1:9" x14ac:dyDescent="0.25">
      <c r="A727">
        <v>129992006</v>
      </c>
      <c r="B727" s="2">
        <v>46221.399305555555</v>
      </c>
      <c r="C727" t="s">
        <v>8</v>
      </c>
      <c r="D727" t="s">
        <v>5</v>
      </c>
      <c r="E727" t="s">
        <v>64</v>
      </c>
      <c r="F727" t="s">
        <v>69</v>
      </c>
      <c r="G727">
        <v>1.49</v>
      </c>
      <c r="H727">
        <v>1.01</v>
      </c>
      <c r="I727" s="2">
        <v>46217.56459490741</v>
      </c>
    </row>
    <row r="728" spans="1:9" x14ac:dyDescent="0.25">
      <c r="A728">
        <v>129992007</v>
      </c>
      <c r="B728" s="2">
        <v>46222.166666666664</v>
      </c>
      <c r="C728" t="s">
        <v>22</v>
      </c>
      <c r="D728" t="s">
        <v>19</v>
      </c>
      <c r="E728" t="s">
        <v>61</v>
      </c>
      <c r="F728" t="s">
        <v>69</v>
      </c>
      <c r="G728">
        <v>2.39</v>
      </c>
      <c r="H728">
        <v>1.58</v>
      </c>
      <c r="I728" s="2">
        <v>46217.564375000002</v>
      </c>
    </row>
    <row r="729" spans="1:9" x14ac:dyDescent="0.25">
      <c r="A729">
        <v>129992007</v>
      </c>
      <c r="B729" s="2">
        <v>46222.166666666664</v>
      </c>
      <c r="C729" t="s">
        <v>22</v>
      </c>
      <c r="D729" t="s">
        <v>19</v>
      </c>
      <c r="E729" t="s">
        <v>66</v>
      </c>
      <c r="F729" t="s">
        <v>69</v>
      </c>
      <c r="G729">
        <v>2.5499999999999998</v>
      </c>
      <c r="H729">
        <v>1.52</v>
      </c>
      <c r="I729" s="2">
        <v>46217.564363425925</v>
      </c>
    </row>
    <row r="730" spans="1:9" x14ac:dyDescent="0.25">
      <c r="A730">
        <v>129992007</v>
      </c>
      <c r="B730" s="2">
        <v>46222.166666666664</v>
      </c>
      <c r="C730" t="s">
        <v>22</v>
      </c>
      <c r="D730" t="s">
        <v>19</v>
      </c>
      <c r="E730" t="s">
        <v>62</v>
      </c>
      <c r="F730" t="s">
        <v>69</v>
      </c>
      <c r="G730">
        <v>2.4</v>
      </c>
      <c r="H730">
        <v>1.58</v>
      </c>
      <c r="I730" s="2">
        <v>46217.564386574071</v>
      </c>
    </row>
    <row r="731" spans="1:9" x14ac:dyDescent="0.25">
      <c r="A731">
        <v>129992007</v>
      </c>
      <c r="B731" s="2">
        <v>46222.166666666664</v>
      </c>
      <c r="C731" t="s">
        <v>22</v>
      </c>
      <c r="D731" t="s">
        <v>19</v>
      </c>
      <c r="E731" t="s">
        <v>70</v>
      </c>
      <c r="F731" t="s">
        <v>69</v>
      </c>
      <c r="G731">
        <v>2.4</v>
      </c>
      <c r="H731">
        <v>1.57</v>
      </c>
      <c r="I731" s="2">
        <v>46217.564363425925</v>
      </c>
    </row>
    <row r="732" spans="1:9" x14ac:dyDescent="0.25">
      <c r="A732">
        <v>129992007</v>
      </c>
      <c r="B732" s="2">
        <v>46222.166666666664</v>
      </c>
      <c r="C732" t="s">
        <v>22</v>
      </c>
      <c r="D732" t="s">
        <v>19</v>
      </c>
      <c r="E732" t="s">
        <v>65</v>
      </c>
      <c r="F732" t="s">
        <v>69</v>
      </c>
      <c r="G732">
        <v>2.4</v>
      </c>
      <c r="H732">
        <v>1.57</v>
      </c>
      <c r="I732" s="2">
        <v>46217.564375000002</v>
      </c>
    </row>
    <row r="733" spans="1:9" x14ac:dyDescent="0.25">
      <c r="A733">
        <v>129992007</v>
      </c>
      <c r="B733" s="2">
        <v>46222.166666666664</v>
      </c>
      <c r="C733" t="s">
        <v>22</v>
      </c>
      <c r="D733" t="s">
        <v>19</v>
      </c>
      <c r="E733" t="s">
        <v>67</v>
      </c>
      <c r="F733" t="s">
        <v>69</v>
      </c>
      <c r="G733">
        <v>2.35</v>
      </c>
      <c r="H733">
        <v>1.57</v>
      </c>
      <c r="I733" s="2">
        <v>46217.564375000002</v>
      </c>
    </row>
    <row r="734" spans="1:9" x14ac:dyDescent="0.25">
      <c r="A734">
        <v>129992007</v>
      </c>
      <c r="B734" s="2">
        <v>46222.166666666664</v>
      </c>
      <c r="C734" t="s">
        <v>22</v>
      </c>
      <c r="D734" t="s">
        <v>19</v>
      </c>
      <c r="E734" t="s">
        <v>71</v>
      </c>
      <c r="F734" t="s">
        <v>69</v>
      </c>
      <c r="G734">
        <v>2.4</v>
      </c>
      <c r="H734">
        <v>1.57</v>
      </c>
      <c r="I734" s="2">
        <v>46217.564398148148</v>
      </c>
    </row>
    <row r="735" spans="1:9" x14ac:dyDescent="0.25">
      <c r="A735">
        <v>129992007</v>
      </c>
      <c r="B735" s="2">
        <v>46222.166666666664</v>
      </c>
      <c r="C735" t="s">
        <v>22</v>
      </c>
      <c r="D735" t="s">
        <v>19</v>
      </c>
      <c r="E735" t="s">
        <v>72</v>
      </c>
      <c r="F735" t="s">
        <v>69</v>
      </c>
      <c r="G735">
        <v>2.5499999999999998</v>
      </c>
      <c r="H735">
        <v>1.51</v>
      </c>
      <c r="I735" s="2">
        <v>46217.564375000002</v>
      </c>
    </row>
    <row r="736" spans="1:9" x14ac:dyDescent="0.25">
      <c r="A736">
        <v>129992007</v>
      </c>
      <c r="B736" s="2">
        <v>46222.166666666664</v>
      </c>
      <c r="C736" t="s">
        <v>22</v>
      </c>
      <c r="D736" t="s">
        <v>19</v>
      </c>
      <c r="E736" t="s">
        <v>73</v>
      </c>
      <c r="F736" t="s">
        <v>69</v>
      </c>
      <c r="G736">
        <v>2.5499999999999998</v>
      </c>
      <c r="H736">
        <v>1.5</v>
      </c>
      <c r="I736" s="2">
        <v>46217.564375000002</v>
      </c>
    </row>
    <row r="737" spans="1:9" x14ac:dyDescent="0.25">
      <c r="A737">
        <v>129992007</v>
      </c>
      <c r="B737" s="2">
        <v>46222.166666666664</v>
      </c>
      <c r="C737" t="s">
        <v>22</v>
      </c>
      <c r="D737" t="s">
        <v>19</v>
      </c>
      <c r="E737" t="s">
        <v>63</v>
      </c>
      <c r="F737" t="s">
        <v>69</v>
      </c>
      <c r="G737">
        <v>2.35</v>
      </c>
      <c r="H737">
        <v>1.6</v>
      </c>
      <c r="I737" s="2">
        <v>46217.564386574071</v>
      </c>
    </row>
    <row r="738" spans="1:9" x14ac:dyDescent="0.25">
      <c r="A738">
        <v>129992007</v>
      </c>
      <c r="B738" s="2">
        <v>46222.166666666664</v>
      </c>
      <c r="C738" t="s">
        <v>22</v>
      </c>
      <c r="D738" t="s">
        <v>19</v>
      </c>
      <c r="E738" t="s">
        <v>64</v>
      </c>
      <c r="F738" t="s">
        <v>69</v>
      </c>
      <c r="G738">
        <v>2.66</v>
      </c>
      <c r="H738">
        <v>1.53</v>
      </c>
      <c r="I738" s="2">
        <v>46217.56459490741</v>
      </c>
    </row>
    <row r="739" spans="1:9" x14ac:dyDescent="0.25">
      <c r="A739">
        <v>129992008</v>
      </c>
      <c r="B739" s="2">
        <v>46222.253472222219</v>
      </c>
      <c r="C739" t="s">
        <v>12</v>
      </c>
      <c r="D739" t="s">
        <v>7</v>
      </c>
      <c r="E739" t="s">
        <v>61</v>
      </c>
      <c r="F739" t="s">
        <v>69</v>
      </c>
      <c r="G739">
        <v>1.62</v>
      </c>
      <c r="H739">
        <v>2.2999999999999998</v>
      </c>
      <c r="I739" s="2">
        <v>46217.564375000002</v>
      </c>
    </row>
    <row r="740" spans="1:9" x14ac:dyDescent="0.25">
      <c r="A740">
        <v>129992008</v>
      </c>
      <c r="B740" s="2">
        <v>46222.253472222219</v>
      </c>
      <c r="C740" t="s">
        <v>12</v>
      </c>
      <c r="D740" t="s">
        <v>7</v>
      </c>
      <c r="E740" t="s">
        <v>62</v>
      </c>
      <c r="F740" t="s">
        <v>69</v>
      </c>
      <c r="G740">
        <v>1.58</v>
      </c>
      <c r="H740">
        <v>2.4</v>
      </c>
      <c r="I740" s="2">
        <v>46217.564386574071</v>
      </c>
    </row>
    <row r="741" spans="1:9" x14ac:dyDescent="0.25">
      <c r="A741">
        <v>129992008</v>
      </c>
      <c r="B741" s="2">
        <v>46222.253472222219</v>
      </c>
      <c r="C741" t="s">
        <v>12</v>
      </c>
      <c r="D741" t="s">
        <v>7</v>
      </c>
      <c r="E741" t="s">
        <v>70</v>
      </c>
      <c r="F741" t="s">
        <v>69</v>
      </c>
      <c r="G741">
        <v>1.62</v>
      </c>
      <c r="H741">
        <v>2.2999999999999998</v>
      </c>
      <c r="I741" s="2">
        <v>46217.564363425925</v>
      </c>
    </row>
    <row r="742" spans="1:9" x14ac:dyDescent="0.25">
      <c r="A742">
        <v>129992008</v>
      </c>
      <c r="B742" s="2">
        <v>46222.253472222219</v>
      </c>
      <c r="C742" t="s">
        <v>12</v>
      </c>
      <c r="D742" t="s">
        <v>7</v>
      </c>
      <c r="E742" t="s">
        <v>65</v>
      </c>
      <c r="F742" t="s">
        <v>69</v>
      </c>
      <c r="G742">
        <v>1.62</v>
      </c>
      <c r="H742">
        <v>2.2999999999999998</v>
      </c>
      <c r="I742" s="2">
        <v>46217.564375000002</v>
      </c>
    </row>
    <row r="743" spans="1:9" x14ac:dyDescent="0.25">
      <c r="A743">
        <v>129992008</v>
      </c>
      <c r="B743" s="2">
        <v>46222.253472222219</v>
      </c>
      <c r="C743" t="s">
        <v>12</v>
      </c>
      <c r="D743" t="s">
        <v>7</v>
      </c>
      <c r="E743" t="s">
        <v>67</v>
      </c>
      <c r="F743" t="s">
        <v>69</v>
      </c>
      <c r="G743">
        <v>1.6</v>
      </c>
      <c r="H743">
        <v>2.2999999999999998</v>
      </c>
      <c r="I743" s="2">
        <v>46217.564375000002</v>
      </c>
    </row>
    <row r="744" spans="1:9" x14ac:dyDescent="0.25">
      <c r="A744">
        <v>129992008</v>
      </c>
      <c r="B744" s="2">
        <v>46222.253472222219</v>
      </c>
      <c r="C744" t="s">
        <v>12</v>
      </c>
      <c r="D744" t="s">
        <v>7</v>
      </c>
      <c r="E744" t="s">
        <v>71</v>
      </c>
      <c r="F744" t="s">
        <v>69</v>
      </c>
      <c r="G744">
        <v>1.62</v>
      </c>
      <c r="H744">
        <v>2.2999999999999998</v>
      </c>
      <c r="I744" s="2">
        <v>46217.564398148148</v>
      </c>
    </row>
    <row r="745" spans="1:9" x14ac:dyDescent="0.25">
      <c r="A745">
        <v>129992008</v>
      </c>
      <c r="B745" s="2">
        <v>46222.253472222219</v>
      </c>
      <c r="C745" t="s">
        <v>12</v>
      </c>
      <c r="D745" t="s">
        <v>7</v>
      </c>
      <c r="E745" t="s">
        <v>66</v>
      </c>
      <c r="F745" t="s">
        <v>69</v>
      </c>
      <c r="G745">
        <v>1.65</v>
      </c>
      <c r="H745">
        <v>2.25</v>
      </c>
      <c r="I745" s="2">
        <v>46217.564363425925</v>
      </c>
    </row>
    <row r="746" spans="1:9" x14ac:dyDescent="0.25">
      <c r="A746">
        <v>129992008</v>
      </c>
      <c r="B746" s="2">
        <v>46222.253472222219</v>
      </c>
      <c r="C746" t="s">
        <v>12</v>
      </c>
      <c r="D746" t="s">
        <v>7</v>
      </c>
      <c r="E746" t="s">
        <v>72</v>
      </c>
      <c r="F746" t="s">
        <v>69</v>
      </c>
      <c r="G746">
        <v>1.6</v>
      </c>
      <c r="H746">
        <v>2.35</v>
      </c>
      <c r="I746" s="2">
        <v>46217.564375000002</v>
      </c>
    </row>
    <row r="747" spans="1:9" x14ac:dyDescent="0.25">
      <c r="A747">
        <v>129992008</v>
      </c>
      <c r="B747" s="2">
        <v>46222.253472222219</v>
      </c>
      <c r="C747" t="s">
        <v>12</v>
      </c>
      <c r="D747" t="s">
        <v>7</v>
      </c>
      <c r="E747" t="s">
        <v>73</v>
      </c>
      <c r="F747" t="s">
        <v>69</v>
      </c>
      <c r="G747">
        <v>1.6</v>
      </c>
      <c r="H747">
        <v>2.33</v>
      </c>
      <c r="I747" s="2">
        <v>46217.564375000002</v>
      </c>
    </row>
    <row r="748" spans="1:9" x14ac:dyDescent="0.25">
      <c r="A748">
        <v>129992008</v>
      </c>
      <c r="B748" s="2">
        <v>46222.253472222219</v>
      </c>
      <c r="C748" t="s">
        <v>12</v>
      </c>
      <c r="D748" t="s">
        <v>7</v>
      </c>
      <c r="E748" t="s">
        <v>63</v>
      </c>
      <c r="F748" t="s">
        <v>69</v>
      </c>
      <c r="G748">
        <v>1.63</v>
      </c>
      <c r="H748">
        <v>2.25</v>
      </c>
      <c r="I748" s="2">
        <v>46217.564386574071</v>
      </c>
    </row>
    <row r="749" spans="1:9" x14ac:dyDescent="0.25">
      <c r="A749">
        <v>129992008</v>
      </c>
      <c r="B749" s="2">
        <v>46222.253472222219</v>
      </c>
      <c r="C749" t="s">
        <v>12</v>
      </c>
      <c r="D749" t="s">
        <v>7</v>
      </c>
      <c r="E749" t="s">
        <v>64</v>
      </c>
      <c r="F749" t="s">
        <v>69</v>
      </c>
      <c r="G749">
        <v>1.66</v>
      </c>
      <c r="H749">
        <v>2.36</v>
      </c>
      <c r="I749" s="2">
        <v>46217.56459490741</v>
      </c>
    </row>
    <row r="750" spans="1:9" x14ac:dyDescent="0.25">
      <c r="A750">
        <v>129992101</v>
      </c>
      <c r="B750" s="2">
        <v>46226.409722222219</v>
      </c>
      <c r="C750" t="s">
        <v>18</v>
      </c>
      <c r="D750" t="s">
        <v>16</v>
      </c>
      <c r="E750" t="s">
        <v>61</v>
      </c>
      <c r="F750" t="s">
        <v>69</v>
      </c>
      <c r="G750">
        <v>5.3</v>
      </c>
      <c r="H750">
        <v>1.1599999999999999</v>
      </c>
      <c r="I750" s="2">
        <v>46225.027569444443</v>
      </c>
    </row>
    <row r="751" spans="1:9" x14ac:dyDescent="0.25">
      <c r="A751">
        <v>129992101</v>
      </c>
      <c r="B751" s="2">
        <v>46226.409722222219</v>
      </c>
      <c r="C751" t="s">
        <v>18</v>
      </c>
      <c r="D751" t="s">
        <v>16</v>
      </c>
      <c r="E751" t="s">
        <v>62</v>
      </c>
      <c r="F751" t="s">
        <v>69</v>
      </c>
      <c r="G751">
        <v>5.2</v>
      </c>
      <c r="H751">
        <v>1.1599999999999999</v>
      </c>
      <c r="I751" s="2">
        <v>46225.028148148151</v>
      </c>
    </row>
    <row r="752" spans="1:9" x14ac:dyDescent="0.25">
      <c r="A752">
        <v>129992101</v>
      </c>
      <c r="B752" s="2">
        <v>46226.409722222219</v>
      </c>
      <c r="C752" t="s">
        <v>18</v>
      </c>
      <c r="D752" t="s">
        <v>16</v>
      </c>
      <c r="E752" t="s">
        <v>67</v>
      </c>
      <c r="F752" t="s">
        <v>69</v>
      </c>
      <c r="G752">
        <v>5</v>
      </c>
      <c r="H752">
        <v>1.1599999999999999</v>
      </c>
      <c r="I752" s="2">
        <v>46225.027708333335</v>
      </c>
    </row>
    <row r="753" spans="1:9" x14ac:dyDescent="0.25">
      <c r="A753">
        <v>129992101</v>
      </c>
      <c r="B753" s="2">
        <v>46226.409722222219</v>
      </c>
      <c r="C753" t="s">
        <v>18</v>
      </c>
      <c r="D753" t="s">
        <v>16</v>
      </c>
      <c r="E753" t="s">
        <v>65</v>
      </c>
      <c r="F753" t="s">
        <v>69</v>
      </c>
      <c r="G753">
        <v>5.4</v>
      </c>
      <c r="H753">
        <v>1.1599999999999999</v>
      </c>
      <c r="I753" s="2">
        <v>46225.027916666666</v>
      </c>
    </row>
    <row r="754" spans="1:9" x14ac:dyDescent="0.25">
      <c r="A754">
        <v>129992101</v>
      </c>
      <c r="B754" s="2">
        <v>46226.409722222219</v>
      </c>
      <c r="C754" t="s">
        <v>18</v>
      </c>
      <c r="D754" t="s">
        <v>16</v>
      </c>
      <c r="E754" t="s">
        <v>70</v>
      </c>
      <c r="F754" t="s">
        <v>69</v>
      </c>
      <c r="G754">
        <v>5.4</v>
      </c>
      <c r="H754">
        <v>1.1599999999999999</v>
      </c>
      <c r="I754" s="2">
        <v>46225.027905092589</v>
      </c>
    </row>
    <row r="755" spans="1:9" x14ac:dyDescent="0.25">
      <c r="A755">
        <v>129992101</v>
      </c>
      <c r="B755" s="2">
        <v>46226.409722222219</v>
      </c>
      <c r="C755" t="s">
        <v>18</v>
      </c>
      <c r="D755" t="s">
        <v>16</v>
      </c>
      <c r="E755" t="s">
        <v>71</v>
      </c>
      <c r="F755" t="s">
        <v>69</v>
      </c>
      <c r="G755">
        <v>5.25</v>
      </c>
      <c r="H755">
        <v>1.1599999999999999</v>
      </c>
      <c r="I755" s="2">
        <v>46225.027453703704</v>
      </c>
    </row>
    <row r="756" spans="1:9" x14ac:dyDescent="0.25">
      <c r="A756">
        <v>129992101</v>
      </c>
      <c r="B756" s="2">
        <v>46226.409722222219</v>
      </c>
      <c r="C756" t="s">
        <v>18</v>
      </c>
      <c r="D756" t="s">
        <v>16</v>
      </c>
      <c r="E756" t="s">
        <v>64</v>
      </c>
      <c r="F756" t="s">
        <v>69</v>
      </c>
      <c r="G756">
        <v>5.2</v>
      </c>
      <c r="H756">
        <v>1.17</v>
      </c>
      <c r="I756" s="2">
        <v>46225.028136574074</v>
      </c>
    </row>
    <row r="757" spans="1:9" x14ac:dyDescent="0.25">
      <c r="A757">
        <v>129992101</v>
      </c>
      <c r="B757" s="2">
        <v>46226.409722222219</v>
      </c>
      <c r="C757" t="s">
        <v>18</v>
      </c>
      <c r="D757" t="s">
        <v>16</v>
      </c>
      <c r="E757" t="s">
        <v>66</v>
      </c>
      <c r="F757" t="s">
        <v>69</v>
      </c>
      <c r="G757">
        <v>5.5</v>
      </c>
      <c r="H757">
        <v>1.1499999999999999</v>
      </c>
      <c r="I757" s="2">
        <v>46225.027465277781</v>
      </c>
    </row>
    <row r="758" spans="1:9" x14ac:dyDescent="0.25">
      <c r="A758">
        <v>129992101</v>
      </c>
      <c r="B758" s="2">
        <v>46226.409722222219</v>
      </c>
      <c r="C758" t="s">
        <v>18</v>
      </c>
      <c r="D758" t="s">
        <v>16</v>
      </c>
      <c r="E758" t="s">
        <v>73</v>
      </c>
      <c r="F758" t="s">
        <v>69</v>
      </c>
      <c r="G758">
        <v>4.5999999999999996</v>
      </c>
      <c r="H758">
        <v>1.19</v>
      </c>
      <c r="I758" s="2">
        <v>46225.027465277781</v>
      </c>
    </row>
    <row r="759" spans="1:9" x14ac:dyDescent="0.25">
      <c r="A759">
        <v>129992101</v>
      </c>
      <c r="B759" s="2">
        <v>46226.409722222219</v>
      </c>
      <c r="C759" t="s">
        <v>18</v>
      </c>
      <c r="D759" t="s">
        <v>16</v>
      </c>
      <c r="E759" t="s">
        <v>72</v>
      </c>
      <c r="F759" t="s">
        <v>69</v>
      </c>
      <c r="G759">
        <v>4.75</v>
      </c>
      <c r="H759">
        <v>1.19</v>
      </c>
      <c r="I759" s="2">
        <v>46225.02747685185</v>
      </c>
    </row>
    <row r="760" spans="1:9" x14ac:dyDescent="0.25">
      <c r="A760">
        <v>129992101</v>
      </c>
      <c r="B760" s="2">
        <v>46226.409722222219</v>
      </c>
      <c r="C760" t="s">
        <v>18</v>
      </c>
      <c r="D760" t="s">
        <v>16</v>
      </c>
      <c r="E760" t="s">
        <v>63</v>
      </c>
      <c r="F760" t="s">
        <v>69</v>
      </c>
      <c r="G760">
        <v>5.5</v>
      </c>
      <c r="H760">
        <v>1.1499999999999999</v>
      </c>
      <c r="I760" s="2">
        <v>46225.027696759258</v>
      </c>
    </row>
    <row r="761" spans="1:9" x14ac:dyDescent="0.25">
      <c r="A761">
        <v>129992102</v>
      </c>
      <c r="B761" s="2">
        <v>46227.333333333336</v>
      </c>
      <c r="C761" t="s">
        <v>17</v>
      </c>
      <c r="D761" t="s">
        <v>10</v>
      </c>
      <c r="E761" t="s">
        <v>61</v>
      </c>
      <c r="F761" t="s">
        <v>69</v>
      </c>
      <c r="G761">
        <v>2.13</v>
      </c>
      <c r="H761">
        <v>1.72</v>
      </c>
      <c r="I761" s="2">
        <v>46225.027569444443</v>
      </c>
    </row>
    <row r="762" spans="1:9" x14ac:dyDescent="0.25">
      <c r="A762">
        <v>129992102</v>
      </c>
      <c r="B762" s="2">
        <v>46227.333333333336</v>
      </c>
      <c r="C762" t="s">
        <v>17</v>
      </c>
      <c r="D762" t="s">
        <v>10</v>
      </c>
      <c r="E762" t="s">
        <v>62</v>
      </c>
      <c r="F762" t="s">
        <v>69</v>
      </c>
      <c r="G762">
        <v>2.2000000000000002</v>
      </c>
      <c r="H762">
        <v>1.67</v>
      </c>
      <c r="I762" s="2">
        <v>46225.028148148151</v>
      </c>
    </row>
    <row r="763" spans="1:9" x14ac:dyDescent="0.25">
      <c r="A763">
        <v>129992102</v>
      </c>
      <c r="B763" s="2">
        <v>46227.333333333336</v>
      </c>
      <c r="C763" t="s">
        <v>17</v>
      </c>
      <c r="D763" t="s">
        <v>10</v>
      </c>
      <c r="E763" t="s">
        <v>67</v>
      </c>
      <c r="F763" t="s">
        <v>69</v>
      </c>
      <c r="G763">
        <v>2.15</v>
      </c>
      <c r="H763">
        <v>1.68</v>
      </c>
      <c r="I763" s="2">
        <v>46225.027708333335</v>
      </c>
    </row>
    <row r="764" spans="1:9" x14ac:dyDescent="0.25">
      <c r="A764">
        <v>129992102</v>
      </c>
      <c r="B764" s="2">
        <v>46227.333333333336</v>
      </c>
      <c r="C764" t="s">
        <v>17</v>
      </c>
      <c r="D764" t="s">
        <v>10</v>
      </c>
      <c r="E764" t="s">
        <v>65</v>
      </c>
      <c r="F764" t="s">
        <v>69</v>
      </c>
      <c r="G764">
        <v>2.1</v>
      </c>
      <c r="H764">
        <v>1.75</v>
      </c>
      <c r="I764" s="2">
        <v>46225.027916666666</v>
      </c>
    </row>
    <row r="765" spans="1:9" x14ac:dyDescent="0.25">
      <c r="A765">
        <v>129992102</v>
      </c>
      <c r="B765" s="2">
        <v>46227.333333333336</v>
      </c>
      <c r="C765" t="s">
        <v>17</v>
      </c>
      <c r="D765" t="s">
        <v>10</v>
      </c>
      <c r="E765" t="s">
        <v>70</v>
      </c>
      <c r="F765" t="s">
        <v>69</v>
      </c>
      <c r="G765">
        <v>2.1</v>
      </c>
      <c r="H765">
        <v>1.75</v>
      </c>
      <c r="I765" s="2">
        <v>46225.027905092589</v>
      </c>
    </row>
    <row r="766" spans="1:9" x14ac:dyDescent="0.25">
      <c r="A766">
        <v>129992102</v>
      </c>
      <c r="B766" s="2">
        <v>46227.333333333336</v>
      </c>
      <c r="C766" t="s">
        <v>17</v>
      </c>
      <c r="D766" t="s">
        <v>10</v>
      </c>
      <c r="E766" t="s">
        <v>71</v>
      </c>
      <c r="F766" t="s">
        <v>69</v>
      </c>
      <c r="G766">
        <v>2.2000000000000002</v>
      </c>
      <c r="H766">
        <v>1.67</v>
      </c>
      <c r="I766" s="2">
        <v>46225.027453703704</v>
      </c>
    </row>
    <row r="767" spans="1:9" x14ac:dyDescent="0.25">
      <c r="A767">
        <v>129992102</v>
      </c>
      <c r="B767" s="2">
        <v>46227.333333333336</v>
      </c>
      <c r="C767" t="s">
        <v>17</v>
      </c>
      <c r="D767" t="s">
        <v>10</v>
      </c>
      <c r="E767" t="s">
        <v>64</v>
      </c>
      <c r="F767" t="s">
        <v>69</v>
      </c>
      <c r="G767">
        <v>2.2200000000000002</v>
      </c>
      <c r="H767">
        <v>1.75</v>
      </c>
      <c r="I767" s="2">
        <v>46225.028136574074</v>
      </c>
    </row>
    <row r="768" spans="1:9" x14ac:dyDescent="0.25">
      <c r="A768">
        <v>129992102</v>
      </c>
      <c r="B768" s="2">
        <v>46227.333333333336</v>
      </c>
      <c r="C768" t="s">
        <v>17</v>
      </c>
      <c r="D768" t="s">
        <v>10</v>
      </c>
      <c r="E768" t="s">
        <v>66</v>
      </c>
      <c r="F768" t="s">
        <v>69</v>
      </c>
      <c r="G768">
        <v>2.2000000000000002</v>
      </c>
      <c r="H768">
        <v>1.67</v>
      </c>
      <c r="I768" s="2">
        <v>46225.027465277781</v>
      </c>
    </row>
    <row r="769" spans="1:9" x14ac:dyDescent="0.25">
      <c r="A769">
        <v>129992102</v>
      </c>
      <c r="B769" s="2">
        <v>46227.333333333336</v>
      </c>
      <c r="C769" t="s">
        <v>17</v>
      </c>
      <c r="D769" t="s">
        <v>10</v>
      </c>
      <c r="E769" t="s">
        <v>73</v>
      </c>
      <c r="F769" t="s">
        <v>69</v>
      </c>
      <c r="G769">
        <v>2.12</v>
      </c>
      <c r="H769">
        <v>1.7</v>
      </c>
      <c r="I769" s="2">
        <v>46225.027465277781</v>
      </c>
    </row>
    <row r="770" spans="1:9" x14ac:dyDescent="0.25">
      <c r="A770">
        <v>129992102</v>
      </c>
      <c r="B770" s="2">
        <v>46227.333333333336</v>
      </c>
      <c r="C770" t="s">
        <v>17</v>
      </c>
      <c r="D770" t="s">
        <v>10</v>
      </c>
      <c r="E770" t="s">
        <v>72</v>
      </c>
      <c r="F770" t="s">
        <v>69</v>
      </c>
      <c r="G770">
        <v>2.14</v>
      </c>
      <c r="H770">
        <v>1.71</v>
      </c>
      <c r="I770" s="2">
        <v>46225.02747685185</v>
      </c>
    </row>
    <row r="771" spans="1:9" x14ac:dyDescent="0.25">
      <c r="A771">
        <v>129992102</v>
      </c>
      <c r="B771" s="2">
        <v>46227.333333333336</v>
      </c>
      <c r="C771" t="s">
        <v>17</v>
      </c>
      <c r="D771" t="s">
        <v>10</v>
      </c>
      <c r="E771" t="s">
        <v>63</v>
      </c>
      <c r="F771" t="s">
        <v>69</v>
      </c>
      <c r="G771">
        <v>2.15</v>
      </c>
      <c r="H771">
        <v>1.7</v>
      </c>
      <c r="I771" s="2">
        <v>46225.027696759258</v>
      </c>
    </row>
    <row r="772" spans="1:9" x14ac:dyDescent="0.25">
      <c r="A772">
        <v>129992103</v>
      </c>
      <c r="B772" s="2">
        <v>46227.416666666664</v>
      </c>
      <c r="C772" t="s">
        <v>14</v>
      </c>
      <c r="D772" t="s">
        <v>15</v>
      </c>
      <c r="E772" t="s">
        <v>61</v>
      </c>
      <c r="F772" t="s">
        <v>69</v>
      </c>
      <c r="G772">
        <v>2.04</v>
      </c>
      <c r="H772">
        <v>1.81</v>
      </c>
      <c r="I772" s="2">
        <v>46225.027569444443</v>
      </c>
    </row>
    <row r="773" spans="1:9" x14ac:dyDescent="0.25">
      <c r="A773">
        <v>129992103</v>
      </c>
      <c r="B773" s="2">
        <v>46227.416666666664</v>
      </c>
      <c r="C773" t="s">
        <v>14</v>
      </c>
      <c r="D773" t="s">
        <v>15</v>
      </c>
      <c r="E773" t="s">
        <v>62</v>
      </c>
      <c r="F773" t="s">
        <v>69</v>
      </c>
      <c r="G773">
        <v>1.95</v>
      </c>
      <c r="H773">
        <v>1.85</v>
      </c>
      <c r="I773" s="2">
        <v>46225.028148148151</v>
      </c>
    </row>
    <row r="774" spans="1:9" x14ac:dyDescent="0.25">
      <c r="A774">
        <v>129992103</v>
      </c>
      <c r="B774" s="2">
        <v>46227.416666666664</v>
      </c>
      <c r="C774" t="s">
        <v>14</v>
      </c>
      <c r="D774" t="s">
        <v>15</v>
      </c>
      <c r="E774" t="s">
        <v>67</v>
      </c>
      <c r="F774" t="s">
        <v>69</v>
      </c>
      <c r="G774">
        <v>1.95</v>
      </c>
      <c r="H774">
        <v>1.85</v>
      </c>
      <c r="I774" s="2">
        <v>46225.027708333335</v>
      </c>
    </row>
    <row r="775" spans="1:9" x14ac:dyDescent="0.25">
      <c r="A775">
        <v>129992103</v>
      </c>
      <c r="B775" s="2">
        <v>46227.416666666664</v>
      </c>
      <c r="C775" t="s">
        <v>14</v>
      </c>
      <c r="D775" t="s">
        <v>15</v>
      </c>
      <c r="E775" t="s">
        <v>65</v>
      </c>
      <c r="F775" t="s">
        <v>69</v>
      </c>
      <c r="G775">
        <v>1.95</v>
      </c>
      <c r="H775">
        <v>1.87</v>
      </c>
      <c r="I775" s="2">
        <v>46225.027916666666</v>
      </c>
    </row>
    <row r="776" spans="1:9" x14ac:dyDescent="0.25">
      <c r="A776">
        <v>129992103</v>
      </c>
      <c r="B776" s="2">
        <v>46227.416666666664</v>
      </c>
      <c r="C776" t="s">
        <v>14</v>
      </c>
      <c r="D776" t="s">
        <v>15</v>
      </c>
      <c r="E776" t="s">
        <v>70</v>
      </c>
      <c r="F776" t="s">
        <v>69</v>
      </c>
      <c r="G776">
        <v>1.95</v>
      </c>
      <c r="H776">
        <v>1.87</v>
      </c>
      <c r="I776" s="2">
        <v>46225.027905092589</v>
      </c>
    </row>
    <row r="777" spans="1:9" x14ac:dyDescent="0.25">
      <c r="A777">
        <v>129992103</v>
      </c>
      <c r="B777" s="2">
        <v>46227.416666666664</v>
      </c>
      <c r="C777" t="s">
        <v>14</v>
      </c>
      <c r="D777" t="s">
        <v>15</v>
      </c>
      <c r="E777" t="s">
        <v>71</v>
      </c>
      <c r="F777" t="s">
        <v>69</v>
      </c>
      <c r="G777">
        <v>1.95</v>
      </c>
      <c r="H777">
        <v>1.85</v>
      </c>
      <c r="I777" s="2">
        <v>46225.027453703704</v>
      </c>
    </row>
    <row r="778" spans="1:9" x14ac:dyDescent="0.25">
      <c r="A778">
        <v>129992103</v>
      </c>
      <c r="B778" s="2">
        <v>46227.416666666664</v>
      </c>
      <c r="C778" t="s">
        <v>14</v>
      </c>
      <c r="D778" t="s">
        <v>15</v>
      </c>
      <c r="E778" t="s">
        <v>64</v>
      </c>
      <c r="F778" t="s">
        <v>69</v>
      </c>
      <c r="G778">
        <v>1.82</v>
      </c>
      <c r="H778">
        <v>1.66</v>
      </c>
      <c r="I778" s="2">
        <v>46225.028136574074</v>
      </c>
    </row>
    <row r="779" spans="1:9" x14ac:dyDescent="0.25">
      <c r="A779">
        <v>129992103</v>
      </c>
      <c r="B779" s="2">
        <v>46227.416666666664</v>
      </c>
      <c r="C779" t="s">
        <v>14</v>
      </c>
      <c r="D779" t="s">
        <v>15</v>
      </c>
      <c r="E779" t="s">
        <v>66</v>
      </c>
      <c r="F779" t="s">
        <v>69</v>
      </c>
      <c r="G779">
        <v>2</v>
      </c>
      <c r="H779">
        <v>1.8</v>
      </c>
      <c r="I779" s="2">
        <v>46225.027465277781</v>
      </c>
    </row>
    <row r="780" spans="1:9" x14ac:dyDescent="0.25">
      <c r="A780">
        <v>129992103</v>
      </c>
      <c r="B780" s="2">
        <v>46227.416666666664</v>
      </c>
      <c r="C780" t="s">
        <v>14</v>
      </c>
      <c r="D780" t="s">
        <v>15</v>
      </c>
      <c r="E780" t="s">
        <v>73</v>
      </c>
      <c r="F780" t="s">
        <v>69</v>
      </c>
      <c r="G780">
        <v>1.96</v>
      </c>
      <c r="H780">
        <v>1.82</v>
      </c>
      <c r="I780" s="2">
        <v>46225.027465277781</v>
      </c>
    </row>
    <row r="781" spans="1:9" x14ac:dyDescent="0.25">
      <c r="A781">
        <v>129992103</v>
      </c>
      <c r="B781" s="2">
        <v>46227.416666666664</v>
      </c>
      <c r="C781" t="s">
        <v>14</v>
      </c>
      <c r="D781" t="s">
        <v>15</v>
      </c>
      <c r="E781" t="s">
        <v>72</v>
      </c>
      <c r="F781" t="s">
        <v>69</v>
      </c>
      <c r="G781">
        <v>1.97</v>
      </c>
      <c r="H781">
        <v>1.83</v>
      </c>
      <c r="I781" s="2">
        <v>46225.02747685185</v>
      </c>
    </row>
    <row r="782" spans="1:9" x14ac:dyDescent="0.25">
      <c r="A782">
        <v>129992103</v>
      </c>
      <c r="B782" s="2">
        <v>46227.416666666664</v>
      </c>
      <c r="C782" t="s">
        <v>14</v>
      </c>
      <c r="D782" t="s">
        <v>15</v>
      </c>
      <c r="E782" t="s">
        <v>63</v>
      </c>
      <c r="F782" t="s">
        <v>69</v>
      </c>
      <c r="G782">
        <v>2</v>
      </c>
      <c r="H782">
        <v>1.82</v>
      </c>
      <c r="I782" s="2">
        <v>46225.027696759258</v>
      </c>
    </row>
    <row r="783" spans="1:9" x14ac:dyDescent="0.25">
      <c r="A783">
        <v>129992104</v>
      </c>
      <c r="B783" s="2">
        <v>46228.208333333336</v>
      </c>
      <c r="C783" t="s">
        <v>4</v>
      </c>
      <c r="D783" t="s">
        <v>5</v>
      </c>
      <c r="E783" t="s">
        <v>61</v>
      </c>
      <c r="F783" t="s">
        <v>69</v>
      </c>
      <c r="G783">
        <v>1.22</v>
      </c>
      <c r="H783">
        <v>4.25</v>
      </c>
      <c r="I783" s="2">
        <v>46225.027569444443</v>
      </c>
    </row>
    <row r="784" spans="1:9" x14ac:dyDescent="0.25">
      <c r="A784">
        <v>129992104</v>
      </c>
      <c r="B784" s="2">
        <v>46228.208333333336</v>
      </c>
      <c r="C784" t="s">
        <v>4</v>
      </c>
      <c r="D784" t="s">
        <v>5</v>
      </c>
      <c r="E784" t="s">
        <v>66</v>
      </c>
      <c r="F784" t="s">
        <v>69</v>
      </c>
      <c r="G784">
        <v>1.24</v>
      </c>
      <c r="H784">
        <v>4.05</v>
      </c>
      <c r="I784" s="2">
        <v>46225.027465277781</v>
      </c>
    </row>
    <row r="785" spans="1:9" x14ac:dyDescent="0.25">
      <c r="A785">
        <v>129992104</v>
      </c>
      <c r="B785" s="2">
        <v>46228.208333333336</v>
      </c>
      <c r="C785" t="s">
        <v>4</v>
      </c>
      <c r="D785" t="s">
        <v>5</v>
      </c>
      <c r="E785" t="s">
        <v>62</v>
      </c>
      <c r="F785" t="s">
        <v>69</v>
      </c>
      <c r="G785">
        <v>1.24</v>
      </c>
      <c r="H785">
        <v>4.0999999999999996</v>
      </c>
      <c r="I785" s="2">
        <v>46225.028148148151</v>
      </c>
    </row>
    <row r="786" spans="1:9" x14ac:dyDescent="0.25">
      <c r="A786">
        <v>129992104</v>
      </c>
      <c r="B786" s="2">
        <v>46228.208333333336</v>
      </c>
      <c r="C786" t="s">
        <v>4</v>
      </c>
      <c r="D786" t="s">
        <v>5</v>
      </c>
      <c r="E786" t="s">
        <v>67</v>
      </c>
      <c r="F786" t="s">
        <v>69</v>
      </c>
      <c r="G786">
        <v>1.23</v>
      </c>
      <c r="H786">
        <v>4</v>
      </c>
      <c r="I786" s="2">
        <v>46225.027708333335</v>
      </c>
    </row>
    <row r="787" spans="1:9" x14ac:dyDescent="0.25">
      <c r="A787">
        <v>129992104</v>
      </c>
      <c r="B787" s="2">
        <v>46228.208333333336</v>
      </c>
      <c r="C787" t="s">
        <v>4</v>
      </c>
      <c r="D787" t="s">
        <v>5</v>
      </c>
      <c r="E787" t="s">
        <v>70</v>
      </c>
      <c r="F787" t="s">
        <v>69</v>
      </c>
      <c r="G787">
        <v>1.24</v>
      </c>
      <c r="H787">
        <v>4.2</v>
      </c>
      <c r="I787" s="2">
        <v>46225.027905092589</v>
      </c>
    </row>
    <row r="788" spans="1:9" x14ac:dyDescent="0.25">
      <c r="A788">
        <v>129992104</v>
      </c>
      <c r="B788" s="2">
        <v>46228.208333333336</v>
      </c>
      <c r="C788" t="s">
        <v>4</v>
      </c>
      <c r="D788" t="s">
        <v>5</v>
      </c>
      <c r="E788" t="s">
        <v>65</v>
      </c>
      <c r="F788" t="s">
        <v>69</v>
      </c>
      <c r="G788">
        <v>1.24</v>
      </c>
      <c r="H788">
        <v>4.2</v>
      </c>
      <c r="I788" s="2">
        <v>46225.027916666666</v>
      </c>
    </row>
    <row r="789" spans="1:9" x14ac:dyDescent="0.25">
      <c r="A789">
        <v>129992104</v>
      </c>
      <c r="B789" s="2">
        <v>46228.208333333336</v>
      </c>
      <c r="C789" t="s">
        <v>4</v>
      </c>
      <c r="D789" t="s">
        <v>5</v>
      </c>
      <c r="E789" t="s">
        <v>71</v>
      </c>
      <c r="F789" t="s">
        <v>69</v>
      </c>
      <c r="G789">
        <v>1.24</v>
      </c>
      <c r="H789">
        <v>4.0999999999999996</v>
      </c>
      <c r="I789" s="2">
        <v>46225.027453703704</v>
      </c>
    </row>
    <row r="790" spans="1:9" x14ac:dyDescent="0.25">
      <c r="A790">
        <v>129992104</v>
      </c>
      <c r="B790" s="2">
        <v>46228.208333333336</v>
      </c>
      <c r="C790" t="s">
        <v>4</v>
      </c>
      <c r="D790" t="s">
        <v>5</v>
      </c>
      <c r="E790" t="s">
        <v>64</v>
      </c>
      <c r="F790" t="s">
        <v>69</v>
      </c>
      <c r="G790">
        <v>1.06</v>
      </c>
      <c r="H790">
        <v>4.8</v>
      </c>
      <c r="I790" s="2">
        <v>46225.028136574074</v>
      </c>
    </row>
    <row r="791" spans="1:9" x14ac:dyDescent="0.25">
      <c r="A791">
        <v>129992104</v>
      </c>
      <c r="B791" s="2">
        <v>46228.208333333336</v>
      </c>
      <c r="C791" t="s">
        <v>4</v>
      </c>
      <c r="D791" t="s">
        <v>5</v>
      </c>
      <c r="E791" t="s">
        <v>72</v>
      </c>
      <c r="F791" t="s">
        <v>69</v>
      </c>
      <c r="G791">
        <v>1.23</v>
      </c>
      <c r="H791">
        <v>4.2</v>
      </c>
      <c r="I791" s="2">
        <v>46225.02747685185</v>
      </c>
    </row>
    <row r="792" spans="1:9" x14ac:dyDescent="0.25">
      <c r="A792">
        <v>129992104</v>
      </c>
      <c r="B792" s="2">
        <v>46228.208333333336</v>
      </c>
      <c r="C792" t="s">
        <v>4</v>
      </c>
      <c r="D792" t="s">
        <v>5</v>
      </c>
      <c r="E792" t="s">
        <v>73</v>
      </c>
      <c r="F792" t="s">
        <v>69</v>
      </c>
      <c r="G792">
        <v>1.22</v>
      </c>
      <c r="H792">
        <v>4.2</v>
      </c>
      <c r="I792" s="2">
        <v>46225.027465277781</v>
      </c>
    </row>
    <row r="793" spans="1:9" x14ac:dyDescent="0.25">
      <c r="A793">
        <v>129992104</v>
      </c>
      <c r="B793" s="2">
        <v>46228.208333333336</v>
      </c>
      <c r="C793" t="s">
        <v>4</v>
      </c>
      <c r="D793" t="s">
        <v>5</v>
      </c>
      <c r="E793" t="s">
        <v>63</v>
      </c>
      <c r="F793" t="s">
        <v>69</v>
      </c>
      <c r="G793">
        <v>1.22</v>
      </c>
      <c r="H793">
        <v>4.25</v>
      </c>
      <c r="I793" s="2">
        <v>46225.027696759258</v>
      </c>
    </row>
    <row r="794" spans="1:9" x14ac:dyDescent="0.25">
      <c r="A794">
        <v>129992105</v>
      </c>
      <c r="B794" s="2">
        <v>46228.3125</v>
      </c>
      <c r="C794" t="s">
        <v>8</v>
      </c>
      <c r="D794" t="s">
        <v>13</v>
      </c>
      <c r="E794" t="s">
        <v>61</v>
      </c>
      <c r="F794" t="s">
        <v>69</v>
      </c>
      <c r="G794">
        <v>2.52</v>
      </c>
      <c r="H794">
        <v>1.53</v>
      </c>
      <c r="I794" s="2">
        <v>46225.027569444443</v>
      </c>
    </row>
    <row r="795" spans="1:9" x14ac:dyDescent="0.25">
      <c r="A795">
        <v>129992105</v>
      </c>
      <c r="B795" s="2">
        <v>46228.3125</v>
      </c>
      <c r="C795" t="s">
        <v>8</v>
      </c>
      <c r="D795" t="s">
        <v>13</v>
      </c>
      <c r="E795" t="s">
        <v>66</v>
      </c>
      <c r="F795" t="s">
        <v>69</v>
      </c>
      <c r="G795">
        <v>2.5</v>
      </c>
      <c r="H795">
        <v>1.53</v>
      </c>
      <c r="I795" s="2">
        <v>46225.027465277781</v>
      </c>
    </row>
    <row r="796" spans="1:9" x14ac:dyDescent="0.25">
      <c r="A796">
        <v>129992105</v>
      </c>
      <c r="B796" s="2">
        <v>46228.3125</v>
      </c>
      <c r="C796" t="s">
        <v>8</v>
      </c>
      <c r="D796" t="s">
        <v>13</v>
      </c>
      <c r="E796" t="s">
        <v>62</v>
      </c>
      <c r="F796" t="s">
        <v>69</v>
      </c>
      <c r="G796">
        <v>2.5</v>
      </c>
      <c r="H796">
        <v>1.53</v>
      </c>
      <c r="I796" s="2">
        <v>46225.028148148151</v>
      </c>
    </row>
    <row r="797" spans="1:9" x14ac:dyDescent="0.25">
      <c r="A797">
        <v>129992105</v>
      </c>
      <c r="B797" s="2">
        <v>46228.3125</v>
      </c>
      <c r="C797" t="s">
        <v>8</v>
      </c>
      <c r="D797" t="s">
        <v>13</v>
      </c>
      <c r="E797" t="s">
        <v>67</v>
      </c>
      <c r="F797" t="s">
        <v>69</v>
      </c>
      <c r="G797">
        <v>2.4500000000000002</v>
      </c>
      <c r="H797">
        <v>1.53</v>
      </c>
      <c r="I797" s="2">
        <v>46225.027708333335</v>
      </c>
    </row>
    <row r="798" spans="1:9" x14ac:dyDescent="0.25">
      <c r="A798">
        <v>129992105</v>
      </c>
      <c r="B798" s="2">
        <v>46228.3125</v>
      </c>
      <c r="C798" t="s">
        <v>8</v>
      </c>
      <c r="D798" t="s">
        <v>13</v>
      </c>
      <c r="E798" t="s">
        <v>70</v>
      </c>
      <c r="F798" t="s">
        <v>69</v>
      </c>
      <c r="G798">
        <v>2.6</v>
      </c>
      <c r="H798">
        <v>1.5</v>
      </c>
      <c r="I798" s="2">
        <v>46225.027905092589</v>
      </c>
    </row>
    <row r="799" spans="1:9" x14ac:dyDescent="0.25">
      <c r="A799">
        <v>129992105</v>
      </c>
      <c r="B799" s="2">
        <v>46228.3125</v>
      </c>
      <c r="C799" t="s">
        <v>8</v>
      </c>
      <c r="D799" t="s">
        <v>13</v>
      </c>
      <c r="E799" t="s">
        <v>65</v>
      </c>
      <c r="F799" t="s">
        <v>69</v>
      </c>
      <c r="G799">
        <v>2.6</v>
      </c>
      <c r="H799">
        <v>1.5</v>
      </c>
      <c r="I799" s="2">
        <v>46225.027916666666</v>
      </c>
    </row>
    <row r="800" spans="1:9" x14ac:dyDescent="0.25">
      <c r="A800">
        <v>129992105</v>
      </c>
      <c r="B800" s="2">
        <v>46228.3125</v>
      </c>
      <c r="C800" t="s">
        <v>8</v>
      </c>
      <c r="D800" t="s">
        <v>13</v>
      </c>
      <c r="E800" t="s">
        <v>71</v>
      </c>
      <c r="F800" t="s">
        <v>69</v>
      </c>
      <c r="G800">
        <v>2.5499999999999998</v>
      </c>
      <c r="H800">
        <v>1.52</v>
      </c>
      <c r="I800" s="2">
        <v>46225.027453703704</v>
      </c>
    </row>
    <row r="801" spans="1:9" x14ac:dyDescent="0.25">
      <c r="A801">
        <v>129992105</v>
      </c>
      <c r="B801" s="2">
        <v>46228.3125</v>
      </c>
      <c r="C801" t="s">
        <v>8</v>
      </c>
      <c r="D801" t="s">
        <v>13</v>
      </c>
      <c r="E801" t="s">
        <v>64</v>
      </c>
      <c r="F801" t="s">
        <v>69</v>
      </c>
      <c r="G801">
        <v>2.64</v>
      </c>
      <c r="H801">
        <v>1.59</v>
      </c>
      <c r="I801" s="2">
        <v>46225.028136574074</v>
      </c>
    </row>
    <row r="802" spans="1:9" x14ac:dyDescent="0.25">
      <c r="A802">
        <v>129992105</v>
      </c>
      <c r="B802" s="2">
        <v>46228.3125</v>
      </c>
      <c r="C802" t="s">
        <v>8</v>
      </c>
      <c r="D802" t="s">
        <v>13</v>
      </c>
      <c r="E802" t="s">
        <v>72</v>
      </c>
      <c r="F802" t="s">
        <v>69</v>
      </c>
      <c r="G802">
        <v>2.48</v>
      </c>
      <c r="H802">
        <v>1.54</v>
      </c>
      <c r="I802" s="2">
        <v>46225.02747685185</v>
      </c>
    </row>
    <row r="803" spans="1:9" x14ac:dyDescent="0.25">
      <c r="A803">
        <v>129992105</v>
      </c>
      <c r="B803" s="2">
        <v>46228.3125</v>
      </c>
      <c r="C803" t="s">
        <v>8</v>
      </c>
      <c r="D803" t="s">
        <v>13</v>
      </c>
      <c r="E803" t="s">
        <v>73</v>
      </c>
      <c r="F803" t="s">
        <v>69</v>
      </c>
      <c r="G803">
        <v>2.4500000000000002</v>
      </c>
      <c r="H803">
        <v>1.54</v>
      </c>
      <c r="I803" s="2">
        <v>46225.027465277781</v>
      </c>
    </row>
    <row r="804" spans="1:9" x14ac:dyDescent="0.25">
      <c r="A804">
        <v>129992105</v>
      </c>
      <c r="B804" s="2">
        <v>46228.3125</v>
      </c>
      <c r="C804" t="s">
        <v>8</v>
      </c>
      <c r="D804" t="s">
        <v>13</v>
      </c>
      <c r="E804" t="s">
        <v>63</v>
      </c>
      <c r="F804" t="s">
        <v>69</v>
      </c>
      <c r="G804">
        <v>2.5</v>
      </c>
      <c r="H804">
        <v>1.53</v>
      </c>
      <c r="I804" s="2">
        <v>46225.027696759258</v>
      </c>
    </row>
    <row r="805" spans="1:9" x14ac:dyDescent="0.25">
      <c r="A805">
        <v>129992106</v>
      </c>
      <c r="B805" s="2">
        <v>46228.399305555555</v>
      </c>
      <c r="C805" t="s">
        <v>7</v>
      </c>
      <c r="D805" t="s">
        <v>9</v>
      </c>
      <c r="E805" t="s">
        <v>61</v>
      </c>
      <c r="F805" t="s">
        <v>69</v>
      </c>
      <c r="G805">
        <v>2.13</v>
      </c>
      <c r="H805">
        <v>1.72</v>
      </c>
      <c r="I805" s="2">
        <v>46225.027569444443</v>
      </c>
    </row>
    <row r="806" spans="1:9" x14ac:dyDescent="0.25">
      <c r="A806">
        <v>129992106</v>
      </c>
      <c r="B806" s="2">
        <v>46228.399305555555</v>
      </c>
      <c r="C806" t="s">
        <v>7</v>
      </c>
      <c r="D806" t="s">
        <v>9</v>
      </c>
      <c r="E806" t="s">
        <v>66</v>
      </c>
      <c r="F806" t="s">
        <v>69</v>
      </c>
      <c r="G806">
        <v>2.2999999999999998</v>
      </c>
      <c r="H806">
        <v>1.62</v>
      </c>
      <c r="I806" s="2">
        <v>46225.027465277781</v>
      </c>
    </row>
    <row r="807" spans="1:9" x14ac:dyDescent="0.25">
      <c r="A807">
        <v>129992106</v>
      </c>
      <c r="B807" s="2">
        <v>46228.399305555555</v>
      </c>
      <c r="C807" t="s">
        <v>7</v>
      </c>
      <c r="D807" t="s">
        <v>9</v>
      </c>
      <c r="E807" t="s">
        <v>62</v>
      </c>
      <c r="F807" t="s">
        <v>69</v>
      </c>
      <c r="G807">
        <v>2.2000000000000002</v>
      </c>
      <c r="H807">
        <v>1.67</v>
      </c>
      <c r="I807" s="2">
        <v>46225.028148148151</v>
      </c>
    </row>
    <row r="808" spans="1:9" x14ac:dyDescent="0.25">
      <c r="A808">
        <v>129992106</v>
      </c>
      <c r="B808" s="2">
        <v>46228.399305555555</v>
      </c>
      <c r="C808" t="s">
        <v>7</v>
      </c>
      <c r="D808" t="s">
        <v>9</v>
      </c>
      <c r="E808" t="s">
        <v>67</v>
      </c>
      <c r="F808" t="s">
        <v>69</v>
      </c>
      <c r="G808">
        <v>2.25</v>
      </c>
      <c r="H808">
        <v>1.62</v>
      </c>
      <c r="I808" s="2">
        <v>46225.027708333335</v>
      </c>
    </row>
    <row r="809" spans="1:9" x14ac:dyDescent="0.25">
      <c r="A809">
        <v>129992106</v>
      </c>
      <c r="B809" s="2">
        <v>46228.399305555555</v>
      </c>
      <c r="C809" t="s">
        <v>7</v>
      </c>
      <c r="D809" t="s">
        <v>9</v>
      </c>
      <c r="E809" t="s">
        <v>65</v>
      </c>
      <c r="F809" t="s">
        <v>69</v>
      </c>
      <c r="G809">
        <v>2.15</v>
      </c>
      <c r="H809">
        <v>1.7</v>
      </c>
      <c r="I809" s="2">
        <v>46225.027916666666</v>
      </c>
    </row>
    <row r="810" spans="1:9" x14ac:dyDescent="0.25">
      <c r="A810">
        <v>129992106</v>
      </c>
      <c r="B810" s="2">
        <v>46228.399305555555</v>
      </c>
      <c r="C810" t="s">
        <v>7</v>
      </c>
      <c r="D810" t="s">
        <v>9</v>
      </c>
      <c r="E810" t="s">
        <v>70</v>
      </c>
      <c r="F810" t="s">
        <v>69</v>
      </c>
      <c r="G810">
        <v>2.15</v>
      </c>
      <c r="H810">
        <v>1.7</v>
      </c>
      <c r="I810" s="2">
        <v>46225.027905092589</v>
      </c>
    </row>
    <row r="811" spans="1:9" x14ac:dyDescent="0.25">
      <c r="A811">
        <v>129992106</v>
      </c>
      <c r="B811" s="2">
        <v>46228.399305555555</v>
      </c>
      <c r="C811" t="s">
        <v>7</v>
      </c>
      <c r="D811" t="s">
        <v>9</v>
      </c>
      <c r="E811" t="s">
        <v>71</v>
      </c>
      <c r="F811" t="s">
        <v>69</v>
      </c>
      <c r="G811">
        <v>2.2000000000000002</v>
      </c>
      <c r="H811">
        <v>1.67</v>
      </c>
      <c r="I811" s="2">
        <v>46225.027453703704</v>
      </c>
    </row>
    <row r="812" spans="1:9" x14ac:dyDescent="0.25">
      <c r="A812">
        <v>129992106</v>
      </c>
      <c r="B812" s="2">
        <v>46228.399305555555</v>
      </c>
      <c r="C812" t="s">
        <v>7</v>
      </c>
      <c r="D812" t="s">
        <v>9</v>
      </c>
      <c r="E812" t="s">
        <v>64</v>
      </c>
      <c r="F812" t="s">
        <v>69</v>
      </c>
      <c r="G812">
        <v>2.2000000000000002</v>
      </c>
      <c r="H812">
        <v>1.7</v>
      </c>
      <c r="I812" s="2">
        <v>46225.028136574074</v>
      </c>
    </row>
    <row r="813" spans="1:9" x14ac:dyDescent="0.25">
      <c r="A813">
        <v>129992106</v>
      </c>
      <c r="B813" s="2">
        <v>46228.399305555555</v>
      </c>
      <c r="C813" t="s">
        <v>7</v>
      </c>
      <c r="D813" t="s">
        <v>9</v>
      </c>
      <c r="E813" t="s">
        <v>72</v>
      </c>
      <c r="F813" t="s">
        <v>69</v>
      </c>
      <c r="G813">
        <v>2.23</v>
      </c>
      <c r="H813">
        <v>1.65</v>
      </c>
      <c r="I813" s="2">
        <v>46225.02747685185</v>
      </c>
    </row>
    <row r="814" spans="1:9" x14ac:dyDescent="0.25">
      <c r="A814">
        <v>129992106</v>
      </c>
      <c r="B814" s="2">
        <v>46228.399305555555</v>
      </c>
      <c r="C814" t="s">
        <v>7</v>
      </c>
      <c r="D814" t="s">
        <v>9</v>
      </c>
      <c r="E814" t="s">
        <v>73</v>
      </c>
      <c r="F814" t="s">
        <v>69</v>
      </c>
      <c r="G814">
        <v>2.23</v>
      </c>
      <c r="H814">
        <v>1.65</v>
      </c>
      <c r="I814" s="2">
        <v>46225.027465277781</v>
      </c>
    </row>
    <row r="815" spans="1:9" x14ac:dyDescent="0.25">
      <c r="A815">
        <v>129992106</v>
      </c>
      <c r="B815" s="2">
        <v>46228.399305555555</v>
      </c>
      <c r="C815" t="s">
        <v>7</v>
      </c>
      <c r="D815" t="s">
        <v>9</v>
      </c>
      <c r="E815" t="s">
        <v>63</v>
      </c>
      <c r="F815" t="s">
        <v>69</v>
      </c>
      <c r="G815">
        <v>2.15</v>
      </c>
      <c r="H815">
        <v>1.7</v>
      </c>
      <c r="I815" s="2">
        <v>46225.027696759258</v>
      </c>
    </row>
    <row r="816" spans="1:9" x14ac:dyDescent="0.25">
      <c r="A816">
        <v>129992107</v>
      </c>
      <c r="B816" s="2">
        <v>46229.166666666664</v>
      </c>
      <c r="C816" t="s">
        <v>11</v>
      </c>
      <c r="D816" t="s">
        <v>22</v>
      </c>
      <c r="E816" t="s">
        <v>61</v>
      </c>
      <c r="F816" t="s">
        <v>69</v>
      </c>
      <c r="G816">
        <v>1.91</v>
      </c>
      <c r="H816">
        <v>1.92</v>
      </c>
      <c r="I816" s="2">
        <v>46225.027569444443</v>
      </c>
    </row>
    <row r="817" spans="1:9" x14ac:dyDescent="0.25">
      <c r="A817">
        <v>129992107</v>
      </c>
      <c r="B817" s="2">
        <v>46229.166666666664</v>
      </c>
      <c r="C817" t="s">
        <v>11</v>
      </c>
      <c r="D817" t="s">
        <v>22</v>
      </c>
      <c r="E817" t="s">
        <v>66</v>
      </c>
      <c r="F817" t="s">
        <v>69</v>
      </c>
      <c r="G817">
        <v>1.9</v>
      </c>
      <c r="H817">
        <v>1.9</v>
      </c>
      <c r="I817" s="2">
        <v>46225.027465277781</v>
      </c>
    </row>
    <row r="818" spans="1:9" x14ac:dyDescent="0.25">
      <c r="A818">
        <v>129992107</v>
      </c>
      <c r="B818" s="2">
        <v>46229.166666666664</v>
      </c>
      <c r="C818" t="s">
        <v>11</v>
      </c>
      <c r="D818" t="s">
        <v>22</v>
      </c>
      <c r="E818" t="s">
        <v>62</v>
      </c>
      <c r="F818" t="s">
        <v>69</v>
      </c>
      <c r="G818">
        <v>1.9</v>
      </c>
      <c r="H818">
        <v>1.9</v>
      </c>
      <c r="I818" s="2">
        <v>46225.028148148151</v>
      </c>
    </row>
    <row r="819" spans="1:9" x14ac:dyDescent="0.25">
      <c r="A819">
        <v>129992107</v>
      </c>
      <c r="B819" s="2">
        <v>46229.166666666664</v>
      </c>
      <c r="C819" t="s">
        <v>11</v>
      </c>
      <c r="D819" t="s">
        <v>22</v>
      </c>
      <c r="E819" t="s">
        <v>67</v>
      </c>
      <c r="F819" t="s">
        <v>69</v>
      </c>
      <c r="G819">
        <v>1.9</v>
      </c>
      <c r="H819">
        <v>1.9</v>
      </c>
      <c r="I819" s="2">
        <v>46225.027708333335</v>
      </c>
    </row>
    <row r="820" spans="1:9" x14ac:dyDescent="0.25">
      <c r="A820">
        <v>129992107</v>
      </c>
      <c r="B820" s="2">
        <v>46229.166666666664</v>
      </c>
      <c r="C820" t="s">
        <v>11</v>
      </c>
      <c r="D820" t="s">
        <v>22</v>
      </c>
      <c r="E820" t="s">
        <v>65</v>
      </c>
      <c r="F820" t="s">
        <v>69</v>
      </c>
      <c r="G820">
        <v>1.9</v>
      </c>
      <c r="H820">
        <v>1.9</v>
      </c>
      <c r="I820" s="2">
        <v>46225.027916666666</v>
      </c>
    </row>
    <row r="821" spans="1:9" x14ac:dyDescent="0.25">
      <c r="A821">
        <v>129992107</v>
      </c>
      <c r="B821" s="2">
        <v>46229.166666666664</v>
      </c>
      <c r="C821" t="s">
        <v>11</v>
      </c>
      <c r="D821" t="s">
        <v>22</v>
      </c>
      <c r="E821" t="s">
        <v>70</v>
      </c>
      <c r="F821" t="s">
        <v>69</v>
      </c>
      <c r="G821">
        <v>1.9</v>
      </c>
      <c r="H821">
        <v>1.9</v>
      </c>
      <c r="I821" s="2">
        <v>46225.027905092589</v>
      </c>
    </row>
    <row r="822" spans="1:9" x14ac:dyDescent="0.25">
      <c r="A822">
        <v>129992107</v>
      </c>
      <c r="B822" s="2">
        <v>46229.166666666664</v>
      </c>
      <c r="C822" t="s">
        <v>11</v>
      </c>
      <c r="D822" t="s">
        <v>22</v>
      </c>
      <c r="E822" t="s">
        <v>64</v>
      </c>
      <c r="F822" t="s">
        <v>69</v>
      </c>
      <c r="G822">
        <v>1.93</v>
      </c>
      <c r="H822">
        <v>1.97</v>
      </c>
      <c r="I822" s="2">
        <v>46225.028136574074</v>
      </c>
    </row>
    <row r="823" spans="1:9" x14ac:dyDescent="0.25">
      <c r="A823">
        <v>129992107</v>
      </c>
      <c r="B823" s="2">
        <v>46229.166666666664</v>
      </c>
      <c r="C823" t="s">
        <v>11</v>
      </c>
      <c r="D823" t="s">
        <v>22</v>
      </c>
      <c r="E823" t="s">
        <v>71</v>
      </c>
      <c r="F823" t="s">
        <v>69</v>
      </c>
      <c r="G823">
        <v>1.9</v>
      </c>
      <c r="H823">
        <v>1.9</v>
      </c>
      <c r="I823" s="2">
        <v>46225.027453703704</v>
      </c>
    </row>
    <row r="824" spans="1:9" x14ac:dyDescent="0.25">
      <c r="A824">
        <v>129992107</v>
      </c>
      <c r="B824" s="2">
        <v>46229.166666666664</v>
      </c>
      <c r="C824" t="s">
        <v>11</v>
      </c>
      <c r="D824" t="s">
        <v>22</v>
      </c>
      <c r="E824" t="s">
        <v>72</v>
      </c>
      <c r="F824" t="s">
        <v>69</v>
      </c>
      <c r="G824">
        <v>1.89</v>
      </c>
      <c r="H824">
        <v>1.91</v>
      </c>
      <c r="I824" s="2">
        <v>46225.02747685185</v>
      </c>
    </row>
    <row r="825" spans="1:9" x14ac:dyDescent="0.25">
      <c r="A825">
        <v>129992107</v>
      </c>
      <c r="B825" s="2">
        <v>46229.166666666664</v>
      </c>
      <c r="C825" t="s">
        <v>11</v>
      </c>
      <c r="D825" t="s">
        <v>22</v>
      </c>
      <c r="E825" t="s">
        <v>73</v>
      </c>
      <c r="F825" t="s">
        <v>69</v>
      </c>
      <c r="G825">
        <v>1.89</v>
      </c>
      <c r="H825">
        <v>1.89</v>
      </c>
      <c r="I825" s="2">
        <v>46225.027465277781</v>
      </c>
    </row>
    <row r="826" spans="1:9" x14ac:dyDescent="0.25">
      <c r="A826">
        <v>129992107</v>
      </c>
      <c r="B826" s="2">
        <v>46229.166666666664</v>
      </c>
      <c r="C826" t="s">
        <v>11</v>
      </c>
      <c r="D826" t="s">
        <v>22</v>
      </c>
      <c r="E826" t="s">
        <v>63</v>
      </c>
      <c r="F826" t="s">
        <v>69</v>
      </c>
      <c r="G826">
        <v>1.92</v>
      </c>
      <c r="H826">
        <v>1.88</v>
      </c>
      <c r="I826" s="2">
        <v>46225.027696759258</v>
      </c>
    </row>
    <row r="827" spans="1:9" x14ac:dyDescent="0.25">
      <c r="A827">
        <v>129992108</v>
      </c>
      <c r="B827" s="2">
        <v>46229.253472222219</v>
      </c>
      <c r="C827" t="s">
        <v>19</v>
      </c>
      <c r="D827" t="s">
        <v>6</v>
      </c>
      <c r="E827" t="s">
        <v>61</v>
      </c>
      <c r="F827" t="s">
        <v>69</v>
      </c>
      <c r="G827">
        <v>2.2799999999999998</v>
      </c>
      <c r="H827">
        <v>1.63</v>
      </c>
      <c r="I827" s="2">
        <v>46225.027569444443</v>
      </c>
    </row>
    <row r="828" spans="1:9" x14ac:dyDescent="0.25">
      <c r="A828">
        <v>129992108</v>
      </c>
      <c r="B828" s="2">
        <v>46229.253472222219</v>
      </c>
      <c r="C828" t="s">
        <v>19</v>
      </c>
      <c r="D828" t="s">
        <v>6</v>
      </c>
      <c r="E828" t="s">
        <v>62</v>
      </c>
      <c r="F828" t="s">
        <v>69</v>
      </c>
      <c r="G828">
        <v>2.2999999999999998</v>
      </c>
      <c r="H828">
        <v>1.62</v>
      </c>
      <c r="I828" s="2">
        <v>46225.028148148151</v>
      </c>
    </row>
    <row r="829" spans="1:9" x14ac:dyDescent="0.25">
      <c r="A829">
        <v>129992108</v>
      </c>
      <c r="B829" s="2">
        <v>46229.253472222219</v>
      </c>
      <c r="C829" t="s">
        <v>19</v>
      </c>
      <c r="D829" t="s">
        <v>6</v>
      </c>
      <c r="E829" t="s">
        <v>66</v>
      </c>
      <c r="F829" t="s">
        <v>69</v>
      </c>
      <c r="G829">
        <v>2.2999999999999998</v>
      </c>
      <c r="H829">
        <v>1.62</v>
      </c>
      <c r="I829" s="2">
        <v>46225.027465277781</v>
      </c>
    </row>
    <row r="830" spans="1:9" x14ac:dyDescent="0.25">
      <c r="A830">
        <v>129992108</v>
      </c>
      <c r="B830" s="2">
        <v>46229.253472222219</v>
      </c>
      <c r="C830" t="s">
        <v>19</v>
      </c>
      <c r="D830" t="s">
        <v>6</v>
      </c>
      <c r="E830" t="s">
        <v>67</v>
      </c>
      <c r="F830" t="s">
        <v>69</v>
      </c>
      <c r="G830">
        <v>2.2999999999999998</v>
      </c>
      <c r="H830">
        <v>1.6</v>
      </c>
      <c r="I830" s="2">
        <v>46225.027708333335</v>
      </c>
    </row>
    <row r="831" spans="1:9" x14ac:dyDescent="0.25">
      <c r="A831">
        <v>129992108</v>
      </c>
      <c r="B831" s="2">
        <v>46229.253472222219</v>
      </c>
      <c r="C831" t="s">
        <v>19</v>
      </c>
      <c r="D831" t="s">
        <v>6</v>
      </c>
      <c r="E831" t="s">
        <v>65</v>
      </c>
      <c r="F831" t="s">
        <v>69</v>
      </c>
      <c r="G831">
        <v>2.25</v>
      </c>
      <c r="H831">
        <v>1.65</v>
      </c>
      <c r="I831" s="2">
        <v>46225.027916666666</v>
      </c>
    </row>
    <row r="832" spans="1:9" x14ac:dyDescent="0.25">
      <c r="A832">
        <v>129992108</v>
      </c>
      <c r="B832" s="2">
        <v>46229.253472222219</v>
      </c>
      <c r="C832" t="s">
        <v>19</v>
      </c>
      <c r="D832" t="s">
        <v>6</v>
      </c>
      <c r="E832" t="s">
        <v>70</v>
      </c>
      <c r="F832" t="s">
        <v>69</v>
      </c>
      <c r="G832">
        <v>2.25</v>
      </c>
      <c r="H832">
        <v>1.65</v>
      </c>
      <c r="I832" s="2">
        <v>46225.027905092589</v>
      </c>
    </row>
    <row r="833" spans="1:9" x14ac:dyDescent="0.25">
      <c r="A833">
        <v>129992108</v>
      </c>
      <c r="B833" s="2">
        <v>46229.253472222219</v>
      </c>
      <c r="C833" t="s">
        <v>19</v>
      </c>
      <c r="D833" t="s">
        <v>6</v>
      </c>
      <c r="E833" t="s">
        <v>64</v>
      </c>
      <c r="F833" t="s">
        <v>69</v>
      </c>
      <c r="G833">
        <v>2.3199999999999998</v>
      </c>
      <c r="H833">
        <v>1.05</v>
      </c>
      <c r="I833" s="2">
        <v>46225.028136574074</v>
      </c>
    </row>
    <row r="834" spans="1:9" x14ac:dyDescent="0.25">
      <c r="A834">
        <v>129992108</v>
      </c>
      <c r="B834" s="2">
        <v>46229.253472222219</v>
      </c>
      <c r="C834" t="s">
        <v>19</v>
      </c>
      <c r="D834" t="s">
        <v>6</v>
      </c>
      <c r="E834" t="s">
        <v>71</v>
      </c>
      <c r="F834" t="s">
        <v>69</v>
      </c>
      <c r="G834">
        <v>2.2999999999999998</v>
      </c>
      <c r="H834">
        <v>1.62</v>
      </c>
      <c r="I834" s="2">
        <v>46225.027453703704</v>
      </c>
    </row>
    <row r="835" spans="1:9" x14ac:dyDescent="0.25">
      <c r="A835">
        <v>129992108</v>
      </c>
      <c r="B835" s="2">
        <v>46229.253472222219</v>
      </c>
      <c r="C835" t="s">
        <v>19</v>
      </c>
      <c r="D835" t="s">
        <v>6</v>
      </c>
      <c r="E835" t="s">
        <v>73</v>
      </c>
      <c r="F835" t="s">
        <v>69</v>
      </c>
      <c r="G835">
        <v>2.2799999999999998</v>
      </c>
      <c r="H835">
        <v>1.62</v>
      </c>
      <c r="I835" s="2">
        <v>46225.027465277781</v>
      </c>
    </row>
    <row r="836" spans="1:9" x14ac:dyDescent="0.25">
      <c r="A836">
        <v>129992108</v>
      </c>
      <c r="B836" s="2">
        <v>46229.253472222219</v>
      </c>
      <c r="C836" t="s">
        <v>19</v>
      </c>
      <c r="D836" t="s">
        <v>6</v>
      </c>
      <c r="E836" t="s">
        <v>72</v>
      </c>
      <c r="F836" t="s">
        <v>69</v>
      </c>
      <c r="G836">
        <v>2.2999999999999998</v>
      </c>
      <c r="H836">
        <v>1.62</v>
      </c>
      <c r="I836" s="2">
        <v>46225.02747685185</v>
      </c>
    </row>
    <row r="837" spans="1:9" x14ac:dyDescent="0.25">
      <c r="A837">
        <v>129992108</v>
      </c>
      <c r="B837" s="2">
        <v>46229.253472222219</v>
      </c>
      <c r="C837" t="s">
        <v>19</v>
      </c>
      <c r="D837" t="s">
        <v>6</v>
      </c>
      <c r="E837" t="s">
        <v>63</v>
      </c>
      <c r="F837" t="s">
        <v>69</v>
      </c>
      <c r="G837">
        <v>2.2799999999999998</v>
      </c>
      <c r="H837">
        <v>1.63</v>
      </c>
      <c r="I837" s="2">
        <v>46225.027696759258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643D-840F-45AC-9728-830D4DD1316A}">
  <dimension ref="A1:H89"/>
  <sheetViews>
    <sheetView topLeftCell="A56" workbookViewId="0">
      <selection activeCell="N15" sqref="N15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13.85546875" bestFit="1" customWidth="1"/>
    <col min="4" max="4" width="13.42578125" bestFit="1" customWidth="1"/>
    <col min="5" max="5" width="13.5703125" bestFit="1" customWidth="1"/>
    <col min="6" max="6" width="13" bestFit="1" customWidth="1"/>
    <col min="7" max="7" width="14.140625" bestFit="1" customWidth="1"/>
    <col min="8" max="8" width="15.85546875" bestFit="1" customWidth="1"/>
  </cols>
  <sheetData>
    <row r="1" spans="1:8" x14ac:dyDescent="0.25">
      <c r="A1" t="s">
        <v>0</v>
      </c>
      <c r="B1" t="s">
        <v>38</v>
      </c>
      <c r="C1" t="s">
        <v>34</v>
      </c>
      <c r="D1" t="s">
        <v>35</v>
      </c>
      <c r="E1" t="s">
        <v>36</v>
      </c>
      <c r="F1" t="s">
        <v>37</v>
      </c>
      <c r="G1" t="s">
        <v>39</v>
      </c>
      <c r="H1" t="s">
        <v>40</v>
      </c>
    </row>
    <row r="2" spans="1:8" x14ac:dyDescent="0.25">
      <c r="A2">
        <v>129991101</v>
      </c>
      <c r="B2" s="1">
        <v>46157</v>
      </c>
      <c r="C2" t="s">
        <v>6</v>
      </c>
      <c r="D2" t="s">
        <v>8</v>
      </c>
      <c r="E2">
        <v>1.48</v>
      </c>
      <c r="F2">
        <v>2.67</v>
      </c>
      <c r="G2" t="s">
        <v>23</v>
      </c>
      <c r="H2" s="2">
        <v>46154.669942129629</v>
      </c>
    </row>
    <row r="3" spans="1:8" x14ac:dyDescent="0.25">
      <c r="A3">
        <v>129991101</v>
      </c>
      <c r="B3" s="1">
        <v>46157</v>
      </c>
      <c r="C3" t="s">
        <v>6</v>
      </c>
      <c r="D3" t="s">
        <v>8</v>
      </c>
      <c r="E3">
        <v>1.5</v>
      </c>
      <c r="F3">
        <v>2.6</v>
      </c>
      <c r="G3" t="s">
        <v>24</v>
      </c>
      <c r="H3" s="2">
        <v>46154.669629629629</v>
      </c>
    </row>
    <row r="4" spans="1:8" x14ac:dyDescent="0.25">
      <c r="A4">
        <v>129991101</v>
      </c>
      <c r="B4" s="1">
        <v>46157</v>
      </c>
      <c r="C4" t="s">
        <v>6</v>
      </c>
      <c r="D4" t="s">
        <v>8</v>
      </c>
      <c r="E4">
        <v>1.5</v>
      </c>
      <c r="F4">
        <v>2.6</v>
      </c>
      <c r="G4" t="s">
        <v>25</v>
      </c>
      <c r="H4" s="2">
        <v>46154.669942129629</v>
      </c>
    </row>
    <row r="5" spans="1:8" x14ac:dyDescent="0.25">
      <c r="A5">
        <v>129991101</v>
      </c>
      <c r="B5" s="1">
        <v>46157</v>
      </c>
      <c r="C5" t="s">
        <v>6</v>
      </c>
      <c r="D5" t="s">
        <v>8</v>
      </c>
      <c r="E5">
        <v>1.52</v>
      </c>
      <c r="F5">
        <v>1.04</v>
      </c>
      <c r="G5" t="s">
        <v>26</v>
      </c>
      <c r="H5" s="2">
        <v>46154.669953703706</v>
      </c>
    </row>
    <row r="6" spans="1:8" x14ac:dyDescent="0.25">
      <c r="A6">
        <v>129991101</v>
      </c>
      <c r="B6" s="1">
        <v>46157</v>
      </c>
      <c r="C6" t="s">
        <v>6</v>
      </c>
      <c r="D6" t="s">
        <v>8</v>
      </c>
      <c r="E6">
        <v>1.5</v>
      </c>
      <c r="F6">
        <v>2.6</v>
      </c>
      <c r="G6" t="s">
        <v>27</v>
      </c>
      <c r="H6" s="2">
        <v>46154.669803240744</v>
      </c>
    </row>
    <row r="7" spans="1:8" x14ac:dyDescent="0.25">
      <c r="A7">
        <v>129991101</v>
      </c>
      <c r="B7" s="1">
        <v>46157</v>
      </c>
      <c r="C7" t="s">
        <v>6</v>
      </c>
      <c r="D7" t="s">
        <v>8</v>
      </c>
      <c r="E7">
        <v>1.53</v>
      </c>
      <c r="F7">
        <v>2.4500000000000002</v>
      </c>
      <c r="G7" t="s">
        <v>28</v>
      </c>
      <c r="H7" s="2">
        <v>46154.669942129629</v>
      </c>
    </row>
    <row r="8" spans="1:8" x14ac:dyDescent="0.25">
      <c r="A8">
        <v>129991101</v>
      </c>
      <c r="B8" s="1">
        <v>46157</v>
      </c>
      <c r="C8" t="s">
        <v>6</v>
      </c>
      <c r="D8" t="s">
        <v>8</v>
      </c>
      <c r="E8">
        <v>1.52</v>
      </c>
      <c r="F8">
        <v>2.5499999999999998</v>
      </c>
      <c r="G8" t="s">
        <v>29</v>
      </c>
      <c r="H8" s="2">
        <v>46154.669791666667</v>
      </c>
    </row>
    <row r="9" spans="1:8" x14ac:dyDescent="0.25">
      <c r="A9">
        <v>129991101</v>
      </c>
      <c r="B9" s="1">
        <v>46157</v>
      </c>
      <c r="C9" t="s">
        <v>6</v>
      </c>
      <c r="D9" t="s">
        <v>8</v>
      </c>
      <c r="E9">
        <v>1.52</v>
      </c>
      <c r="F9">
        <v>2.5499999999999998</v>
      </c>
      <c r="G9" t="s">
        <v>30</v>
      </c>
      <c r="H9" s="2">
        <v>46154.669618055559</v>
      </c>
    </row>
    <row r="10" spans="1:8" x14ac:dyDescent="0.25">
      <c r="A10">
        <v>129991101</v>
      </c>
      <c r="B10" s="1">
        <v>46157</v>
      </c>
      <c r="C10" t="s">
        <v>6</v>
      </c>
      <c r="D10" t="s">
        <v>8</v>
      </c>
      <c r="E10">
        <v>1.5</v>
      </c>
      <c r="F10">
        <v>2.5499999999999998</v>
      </c>
      <c r="G10" t="s">
        <v>31</v>
      </c>
      <c r="H10" s="2">
        <v>46154.670104166667</v>
      </c>
    </row>
    <row r="11" spans="1:8" x14ac:dyDescent="0.25">
      <c r="A11">
        <v>129991101</v>
      </c>
      <c r="B11" s="1">
        <v>46157</v>
      </c>
      <c r="C11" t="s">
        <v>6</v>
      </c>
      <c r="D11" t="s">
        <v>8</v>
      </c>
      <c r="E11">
        <v>1.5</v>
      </c>
      <c r="F11">
        <v>2.6</v>
      </c>
      <c r="G11" t="s">
        <v>32</v>
      </c>
      <c r="H11" s="2">
        <v>46154.670092592591</v>
      </c>
    </row>
    <row r="12" spans="1:8" x14ac:dyDescent="0.25">
      <c r="A12">
        <v>129991101</v>
      </c>
      <c r="B12" s="1">
        <v>46157</v>
      </c>
      <c r="C12" t="s">
        <v>6</v>
      </c>
      <c r="D12" t="s">
        <v>8</v>
      </c>
      <c r="E12">
        <v>1.5</v>
      </c>
      <c r="F12">
        <v>2.5499999999999998</v>
      </c>
      <c r="G12" t="s">
        <v>33</v>
      </c>
      <c r="H12" s="2">
        <v>46154.669629629629</v>
      </c>
    </row>
    <row r="13" spans="1:8" x14ac:dyDescent="0.25">
      <c r="A13">
        <v>129991102</v>
      </c>
      <c r="B13" s="1">
        <v>46157</v>
      </c>
      <c r="C13" t="s">
        <v>14</v>
      </c>
      <c r="D13" t="s">
        <v>12</v>
      </c>
      <c r="E13">
        <v>2</v>
      </c>
      <c r="F13">
        <v>1.84</v>
      </c>
      <c r="G13" t="s">
        <v>23</v>
      </c>
      <c r="H13" s="2">
        <v>46154.669942129629</v>
      </c>
    </row>
    <row r="14" spans="1:8" x14ac:dyDescent="0.25">
      <c r="A14">
        <v>129991102</v>
      </c>
      <c r="B14" s="1">
        <v>46157</v>
      </c>
      <c r="C14" t="s">
        <v>14</v>
      </c>
      <c r="D14" t="s">
        <v>12</v>
      </c>
      <c r="E14">
        <v>2</v>
      </c>
      <c r="F14">
        <v>1.8</v>
      </c>
      <c r="G14" t="s">
        <v>24</v>
      </c>
      <c r="H14" s="2">
        <v>46154.669629629629</v>
      </c>
    </row>
    <row r="15" spans="1:8" x14ac:dyDescent="0.25">
      <c r="A15">
        <v>129991102</v>
      </c>
      <c r="B15" s="1">
        <v>46157</v>
      </c>
      <c r="C15" t="s">
        <v>14</v>
      </c>
      <c r="D15" t="s">
        <v>12</v>
      </c>
      <c r="E15">
        <v>2</v>
      </c>
      <c r="F15">
        <v>1.82</v>
      </c>
      <c r="G15" t="s">
        <v>25</v>
      </c>
      <c r="H15" s="2">
        <v>46154.669942129629</v>
      </c>
    </row>
    <row r="16" spans="1:8" x14ac:dyDescent="0.25">
      <c r="A16">
        <v>129991102</v>
      </c>
      <c r="B16" s="1">
        <v>46157</v>
      </c>
      <c r="C16" t="s">
        <v>14</v>
      </c>
      <c r="D16" t="s">
        <v>12</v>
      </c>
      <c r="E16">
        <v>1.91</v>
      </c>
      <c r="F16">
        <v>1.76</v>
      </c>
      <c r="G16" t="s">
        <v>26</v>
      </c>
      <c r="H16" s="2">
        <v>46154.669953703706</v>
      </c>
    </row>
    <row r="17" spans="1:8" x14ac:dyDescent="0.25">
      <c r="A17">
        <v>129991102</v>
      </c>
      <c r="B17" s="1">
        <v>46157</v>
      </c>
      <c r="C17" t="s">
        <v>14</v>
      </c>
      <c r="D17" t="s">
        <v>12</v>
      </c>
      <c r="E17">
        <v>2.0499999999999998</v>
      </c>
      <c r="F17">
        <v>1.77</v>
      </c>
      <c r="G17" t="s">
        <v>27</v>
      </c>
      <c r="H17" s="2">
        <v>46154.669803240744</v>
      </c>
    </row>
    <row r="18" spans="1:8" x14ac:dyDescent="0.25">
      <c r="A18">
        <v>129991102</v>
      </c>
      <c r="B18" s="1">
        <v>46157</v>
      </c>
      <c r="C18" t="s">
        <v>14</v>
      </c>
      <c r="D18" t="s">
        <v>12</v>
      </c>
      <c r="E18">
        <v>1.85</v>
      </c>
      <c r="F18">
        <v>1.95</v>
      </c>
      <c r="G18" t="s">
        <v>28</v>
      </c>
      <c r="H18" s="2">
        <v>46154.669942129629</v>
      </c>
    </row>
    <row r="19" spans="1:8" x14ac:dyDescent="0.25">
      <c r="A19">
        <v>129991102</v>
      </c>
      <c r="B19" s="1">
        <v>46157</v>
      </c>
      <c r="C19" t="s">
        <v>14</v>
      </c>
      <c r="D19" t="s">
        <v>12</v>
      </c>
      <c r="E19">
        <v>2</v>
      </c>
      <c r="F19">
        <v>1.82</v>
      </c>
      <c r="G19" t="s">
        <v>29</v>
      </c>
      <c r="H19" s="2">
        <v>46154.669791666667</v>
      </c>
    </row>
    <row r="20" spans="1:8" x14ac:dyDescent="0.25">
      <c r="A20">
        <v>129991102</v>
      </c>
      <c r="B20" s="1">
        <v>46157</v>
      </c>
      <c r="C20" t="s">
        <v>14</v>
      </c>
      <c r="D20" t="s">
        <v>12</v>
      </c>
      <c r="E20">
        <v>2</v>
      </c>
      <c r="F20">
        <v>1.82</v>
      </c>
      <c r="G20" t="s">
        <v>30</v>
      </c>
      <c r="H20" s="2">
        <v>46154.669618055559</v>
      </c>
    </row>
    <row r="21" spans="1:8" x14ac:dyDescent="0.25">
      <c r="A21">
        <v>129991102</v>
      </c>
      <c r="B21" s="1">
        <v>46157</v>
      </c>
      <c r="C21" t="s">
        <v>14</v>
      </c>
      <c r="D21" t="s">
        <v>12</v>
      </c>
      <c r="E21">
        <v>2.02</v>
      </c>
      <c r="F21">
        <v>1.77</v>
      </c>
      <c r="G21" t="s">
        <v>31</v>
      </c>
      <c r="H21" s="2">
        <v>46154.670104166667</v>
      </c>
    </row>
    <row r="22" spans="1:8" x14ac:dyDescent="0.25">
      <c r="A22">
        <v>129991102</v>
      </c>
      <c r="B22" s="1">
        <v>46157</v>
      </c>
      <c r="C22" t="s">
        <v>14</v>
      </c>
      <c r="D22" t="s">
        <v>12</v>
      </c>
      <c r="E22">
        <v>2.0499999999999998</v>
      </c>
      <c r="F22">
        <v>1.77</v>
      </c>
      <c r="G22" t="s">
        <v>32</v>
      </c>
      <c r="H22" s="2">
        <v>46154.670092592591</v>
      </c>
    </row>
    <row r="23" spans="1:8" x14ac:dyDescent="0.25">
      <c r="A23">
        <v>129991102</v>
      </c>
      <c r="B23" s="1">
        <v>46157</v>
      </c>
      <c r="C23" t="s">
        <v>14</v>
      </c>
      <c r="D23" t="s">
        <v>12</v>
      </c>
      <c r="E23">
        <v>2.04</v>
      </c>
      <c r="F23">
        <v>1.76</v>
      </c>
      <c r="G23" t="s">
        <v>33</v>
      </c>
      <c r="H23" s="2">
        <v>46154.669629629629</v>
      </c>
    </row>
    <row r="24" spans="1:8" x14ac:dyDescent="0.25">
      <c r="A24">
        <v>129991103</v>
      </c>
      <c r="B24" s="1">
        <v>46158</v>
      </c>
      <c r="C24" t="s">
        <v>5</v>
      </c>
      <c r="D24" t="s">
        <v>19</v>
      </c>
      <c r="E24">
        <v>3.28</v>
      </c>
      <c r="F24">
        <v>1.34</v>
      </c>
      <c r="G24" t="s">
        <v>23</v>
      </c>
      <c r="H24" s="2">
        <v>46154.669942129629</v>
      </c>
    </row>
    <row r="25" spans="1:8" x14ac:dyDescent="0.25">
      <c r="A25">
        <v>129991103</v>
      </c>
      <c r="B25" s="1">
        <v>46158</v>
      </c>
      <c r="C25" t="s">
        <v>5</v>
      </c>
      <c r="D25" t="s">
        <v>19</v>
      </c>
      <c r="E25">
        <v>3.6</v>
      </c>
      <c r="F25">
        <v>1.29</v>
      </c>
      <c r="G25" t="s">
        <v>24</v>
      </c>
      <c r="H25" s="2">
        <v>46154.669629629629</v>
      </c>
    </row>
    <row r="26" spans="1:8" x14ac:dyDescent="0.25">
      <c r="A26">
        <v>129991103</v>
      </c>
      <c r="B26" s="1">
        <v>46158</v>
      </c>
      <c r="C26" t="s">
        <v>5</v>
      </c>
      <c r="D26" t="s">
        <v>19</v>
      </c>
      <c r="E26">
        <v>3.55</v>
      </c>
      <c r="F26">
        <v>1.3</v>
      </c>
      <c r="G26" t="s">
        <v>25</v>
      </c>
      <c r="H26" s="2">
        <v>46154.669942129629</v>
      </c>
    </row>
    <row r="27" spans="1:8" x14ac:dyDescent="0.25">
      <c r="A27">
        <v>129991103</v>
      </c>
      <c r="B27" s="1">
        <v>46158</v>
      </c>
      <c r="C27" t="s">
        <v>5</v>
      </c>
      <c r="D27" t="s">
        <v>19</v>
      </c>
      <c r="E27">
        <v>3.5</v>
      </c>
      <c r="F27">
        <v>1.1000000000000001</v>
      </c>
      <c r="G27" t="s">
        <v>26</v>
      </c>
      <c r="H27" s="2">
        <v>46154.669953703706</v>
      </c>
    </row>
    <row r="28" spans="1:8" x14ac:dyDescent="0.25">
      <c r="A28">
        <v>129991103</v>
      </c>
      <c r="B28" s="1">
        <v>46158</v>
      </c>
      <c r="C28" t="s">
        <v>5</v>
      </c>
      <c r="D28" t="s">
        <v>19</v>
      </c>
      <c r="E28">
        <v>3.7</v>
      </c>
      <c r="F28">
        <v>1.28</v>
      </c>
      <c r="G28" t="s">
        <v>27</v>
      </c>
      <c r="H28" s="2">
        <v>46154.669803240744</v>
      </c>
    </row>
    <row r="29" spans="1:8" x14ac:dyDescent="0.25">
      <c r="A29">
        <v>129991103</v>
      </c>
      <c r="B29" s="1">
        <v>46158</v>
      </c>
      <c r="C29" t="s">
        <v>5</v>
      </c>
      <c r="D29" t="s">
        <v>19</v>
      </c>
      <c r="E29">
        <v>3.6</v>
      </c>
      <c r="F29">
        <v>1.28</v>
      </c>
      <c r="G29" t="s">
        <v>28</v>
      </c>
      <c r="H29" s="2">
        <v>46154.669942129629</v>
      </c>
    </row>
    <row r="30" spans="1:8" x14ac:dyDescent="0.25">
      <c r="A30">
        <v>129991103</v>
      </c>
      <c r="B30" s="1">
        <v>46158</v>
      </c>
      <c r="C30" t="s">
        <v>5</v>
      </c>
      <c r="D30" t="s">
        <v>19</v>
      </c>
      <c r="E30">
        <v>3.5</v>
      </c>
      <c r="F30">
        <v>1.3</v>
      </c>
      <c r="G30" t="s">
        <v>29</v>
      </c>
      <c r="H30" s="2">
        <v>46154.669791666667</v>
      </c>
    </row>
    <row r="31" spans="1:8" x14ac:dyDescent="0.25">
      <c r="A31">
        <v>129991103</v>
      </c>
      <c r="B31" s="1">
        <v>46158</v>
      </c>
      <c r="C31" t="s">
        <v>5</v>
      </c>
      <c r="D31" t="s">
        <v>19</v>
      </c>
      <c r="E31">
        <v>3.5</v>
      </c>
      <c r="F31">
        <v>1.3</v>
      </c>
      <c r="G31" t="s">
        <v>30</v>
      </c>
      <c r="H31" s="2">
        <v>46154.669618055559</v>
      </c>
    </row>
    <row r="32" spans="1:8" x14ac:dyDescent="0.25">
      <c r="A32">
        <v>129991103</v>
      </c>
      <c r="B32" s="1">
        <v>46158</v>
      </c>
      <c r="C32" t="s">
        <v>5</v>
      </c>
      <c r="D32" t="s">
        <v>19</v>
      </c>
      <c r="E32">
        <v>3.55</v>
      </c>
      <c r="F32">
        <v>1.29</v>
      </c>
      <c r="G32" t="s">
        <v>33</v>
      </c>
      <c r="H32" s="2">
        <v>46154.669629629629</v>
      </c>
    </row>
    <row r="33" spans="1:8" x14ac:dyDescent="0.25">
      <c r="A33">
        <v>129991103</v>
      </c>
      <c r="B33" s="1">
        <v>46158</v>
      </c>
      <c r="C33" t="s">
        <v>5</v>
      </c>
      <c r="D33" t="s">
        <v>19</v>
      </c>
      <c r="E33">
        <v>3.55</v>
      </c>
      <c r="F33">
        <v>1.3</v>
      </c>
      <c r="G33" t="s">
        <v>32</v>
      </c>
      <c r="H33" s="2">
        <v>46154.670092592591</v>
      </c>
    </row>
    <row r="34" spans="1:8" x14ac:dyDescent="0.25">
      <c r="A34">
        <v>129991103</v>
      </c>
      <c r="B34" s="1">
        <v>46158</v>
      </c>
      <c r="C34" t="s">
        <v>5</v>
      </c>
      <c r="D34" t="s">
        <v>19</v>
      </c>
      <c r="E34">
        <v>3.6</v>
      </c>
      <c r="F34">
        <v>1.28</v>
      </c>
      <c r="G34" t="s">
        <v>31</v>
      </c>
      <c r="H34" s="2">
        <v>46154.670104166667</v>
      </c>
    </row>
    <row r="35" spans="1:8" x14ac:dyDescent="0.25">
      <c r="A35">
        <v>129991104</v>
      </c>
      <c r="B35" s="1">
        <v>46158</v>
      </c>
      <c r="C35" t="s">
        <v>10</v>
      </c>
      <c r="D35" t="s">
        <v>7</v>
      </c>
      <c r="E35">
        <v>1.24</v>
      </c>
      <c r="F35">
        <v>4.2</v>
      </c>
      <c r="G35" t="s">
        <v>23</v>
      </c>
      <c r="H35" s="2">
        <v>46154.669942129629</v>
      </c>
    </row>
    <row r="36" spans="1:8" x14ac:dyDescent="0.25">
      <c r="A36">
        <v>129991104</v>
      </c>
      <c r="B36" s="1">
        <v>46158</v>
      </c>
      <c r="C36" t="s">
        <v>10</v>
      </c>
      <c r="D36" t="s">
        <v>7</v>
      </c>
      <c r="E36">
        <v>1.22</v>
      </c>
      <c r="F36">
        <v>4.3</v>
      </c>
      <c r="G36" t="s">
        <v>24</v>
      </c>
      <c r="H36" s="2">
        <v>46154.669629629629</v>
      </c>
    </row>
    <row r="37" spans="1:8" x14ac:dyDescent="0.25">
      <c r="A37">
        <v>129991104</v>
      </c>
      <c r="B37" s="1">
        <v>46158</v>
      </c>
      <c r="C37" t="s">
        <v>10</v>
      </c>
      <c r="D37" t="s">
        <v>7</v>
      </c>
      <c r="E37">
        <v>1.19</v>
      </c>
      <c r="F37">
        <v>4.75</v>
      </c>
      <c r="G37" t="s">
        <v>25</v>
      </c>
      <c r="H37" s="2">
        <v>46154.669942129629</v>
      </c>
    </row>
    <row r="38" spans="1:8" x14ac:dyDescent="0.25">
      <c r="A38">
        <v>129991104</v>
      </c>
      <c r="B38" s="1">
        <v>46158</v>
      </c>
      <c r="C38" t="s">
        <v>10</v>
      </c>
      <c r="D38" t="s">
        <v>7</v>
      </c>
      <c r="E38">
        <v>1.05</v>
      </c>
      <c r="F38">
        <v>4.5999999999999996</v>
      </c>
      <c r="G38" t="s">
        <v>26</v>
      </c>
      <c r="H38" s="2">
        <v>46154.669953703706</v>
      </c>
    </row>
    <row r="39" spans="1:8" x14ac:dyDescent="0.25">
      <c r="A39">
        <v>129991104</v>
      </c>
      <c r="B39" s="1">
        <v>46158</v>
      </c>
      <c r="C39" t="s">
        <v>10</v>
      </c>
      <c r="D39" t="s">
        <v>7</v>
      </c>
      <c r="E39">
        <v>1.23</v>
      </c>
      <c r="F39">
        <v>4.2</v>
      </c>
      <c r="G39" t="s">
        <v>27</v>
      </c>
      <c r="H39" s="2">
        <v>46154.669803240744</v>
      </c>
    </row>
    <row r="40" spans="1:8" x14ac:dyDescent="0.25">
      <c r="A40">
        <v>129991104</v>
      </c>
      <c r="B40" s="1">
        <v>46158</v>
      </c>
      <c r="C40" t="s">
        <v>10</v>
      </c>
      <c r="D40" t="s">
        <v>7</v>
      </c>
      <c r="E40">
        <v>1.24</v>
      </c>
      <c r="F40">
        <v>4</v>
      </c>
      <c r="G40" t="s">
        <v>28</v>
      </c>
      <c r="H40" s="2">
        <v>46154.669942129629</v>
      </c>
    </row>
    <row r="41" spans="1:8" x14ac:dyDescent="0.25">
      <c r="A41">
        <v>129991104</v>
      </c>
      <c r="B41" s="1">
        <v>46158</v>
      </c>
      <c r="C41" t="s">
        <v>10</v>
      </c>
      <c r="D41" t="s">
        <v>7</v>
      </c>
      <c r="E41">
        <v>1.22</v>
      </c>
      <c r="F41">
        <v>4.25</v>
      </c>
      <c r="G41" t="s">
        <v>29</v>
      </c>
      <c r="H41" s="2">
        <v>46154.669791666667</v>
      </c>
    </row>
    <row r="42" spans="1:8" x14ac:dyDescent="0.25">
      <c r="A42">
        <v>129991104</v>
      </c>
      <c r="B42" s="1">
        <v>46158</v>
      </c>
      <c r="C42" t="s">
        <v>10</v>
      </c>
      <c r="D42" t="s">
        <v>7</v>
      </c>
      <c r="E42">
        <v>1.22</v>
      </c>
      <c r="F42">
        <v>4.25</v>
      </c>
      <c r="G42" t="s">
        <v>30</v>
      </c>
      <c r="H42" s="2">
        <v>46154.669618055559</v>
      </c>
    </row>
    <row r="43" spans="1:8" x14ac:dyDescent="0.25">
      <c r="A43">
        <v>129991104</v>
      </c>
      <c r="B43" s="1">
        <v>46158</v>
      </c>
      <c r="C43" t="s">
        <v>10</v>
      </c>
      <c r="D43" t="s">
        <v>7</v>
      </c>
      <c r="E43">
        <v>1.22</v>
      </c>
      <c r="F43">
        <v>4.3499999999999996</v>
      </c>
      <c r="G43" t="s">
        <v>32</v>
      </c>
      <c r="H43" s="2">
        <v>46154.670092592591</v>
      </c>
    </row>
    <row r="44" spans="1:8" x14ac:dyDescent="0.25">
      <c r="A44">
        <v>129991104</v>
      </c>
      <c r="B44" s="1">
        <v>46158</v>
      </c>
      <c r="C44" t="s">
        <v>10</v>
      </c>
      <c r="D44" t="s">
        <v>7</v>
      </c>
      <c r="E44">
        <v>1.21</v>
      </c>
      <c r="F44">
        <v>4.3</v>
      </c>
      <c r="G44" t="s">
        <v>33</v>
      </c>
      <c r="H44" s="2">
        <v>46154.669629629629</v>
      </c>
    </row>
    <row r="45" spans="1:8" x14ac:dyDescent="0.25">
      <c r="A45">
        <v>129991104</v>
      </c>
      <c r="B45" s="1">
        <v>46158</v>
      </c>
      <c r="C45" t="s">
        <v>10</v>
      </c>
      <c r="D45" t="s">
        <v>7</v>
      </c>
      <c r="E45">
        <v>1.22</v>
      </c>
      <c r="F45">
        <v>4.0999999999999996</v>
      </c>
      <c r="G45" t="s">
        <v>31</v>
      </c>
      <c r="H45" s="2">
        <v>46154.670104166667</v>
      </c>
    </row>
    <row r="46" spans="1:8" x14ac:dyDescent="0.25">
      <c r="A46">
        <v>129991105</v>
      </c>
      <c r="B46" s="1">
        <v>46158</v>
      </c>
      <c r="C46" t="s">
        <v>18</v>
      </c>
      <c r="D46" t="s">
        <v>15</v>
      </c>
      <c r="E46">
        <v>3.14</v>
      </c>
      <c r="F46">
        <v>1.37</v>
      </c>
      <c r="G46" t="s">
        <v>23</v>
      </c>
      <c r="H46" s="2">
        <v>46154.669942129629</v>
      </c>
    </row>
    <row r="47" spans="1:8" x14ac:dyDescent="0.25">
      <c r="A47">
        <v>129991105</v>
      </c>
      <c r="B47" s="1">
        <v>46158</v>
      </c>
      <c r="C47" t="s">
        <v>18</v>
      </c>
      <c r="D47" t="s">
        <v>15</v>
      </c>
      <c r="E47">
        <v>2.8</v>
      </c>
      <c r="F47">
        <v>1.44</v>
      </c>
      <c r="G47" t="s">
        <v>24</v>
      </c>
      <c r="H47" s="2">
        <v>46154.669629629629</v>
      </c>
    </row>
    <row r="48" spans="1:8" x14ac:dyDescent="0.25">
      <c r="A48">
        <v>129991105</v>
      </c>
      <c r="B48" s="1">
        <v>46158</v>
      </c>
      <c r="C48" t="s">
        <v>18</v>
      </c>
      <c r="D48" t="s">
        <v>15</v>
      </c>
      <c r="E48">
        <v>2.75</v>
      </c>
      <c r="F48">
        <v>1.45</v>
      </c>
      <c r="G48" t="s">
        <v>25</v>
      </c>
      <c r="H48" s="2">
        <v>46154.669942129629</v>
      </c>
    </row>
    <row r="49" spans="1:8" x14ac:dyDescent="0.25">
      <c r="A49">
        <v>129991105</v>
      </c>
      <c r="B49" s="1">
        <v>46158</v>
      </c>
      <c r="C49" t="s">
        <v>18</v>
      </c>
      <c r="D49" t="s">
        <v>15</v>
      </c>
      <c r="E49">
        <v>2.84</v>
      </c>
      <c r="F49">
        <v>1.34</v>
      </c>
      <c r="G49" t="s">
        <v>26</v>
      </c>
      <c r="H49" s="2">
        <v>46154.669953703706</v>
      </c>
    </row>
    <row r="50" spans="1:8" x14ac:dyDescent="0.25">
      <c r="A50">
        <v>129991105</v>
      </c>
      <c r="B50" s="1">
        <v>46158</v>
      </c>
      <c r="C50" t="s">
        <v>18</v>
      </c>
      <c r="D50" t="s">
        <v>15</v>
      </c>
      <c r="E50">
        <v>2.75</v>
      </c>
      <c r="F50">
        <v>1.45</v>
      </c>
      <c r="G50" t="s">
        <v>27</v>
      </c>
      <c r="H50" s="2">
        <v>46154.669803240744</v>
      </c>
    </row>
    <row r="51" spans="1:8" x14ac:dyDescent="0.25">
      <c r="A51">
        <v>129991105</v>
      </c>
      <c r="B51" s="1">
        <v>46158</v>
      </c>
      <c r="C51" t="s">
        <v>18</v>
      </c>
      <c r="D51" t="s">
        <v>15</v>
      </c>
      <c r="E51">
        <v>2.7</v>
      </c>
      <c r="F51">
        <v>1.45</v>
      </c>
      <c r="G51" t="s">
        <v>28</v>
      </c>
      <c r="H51" s="2">
        <v>46154.669942129629</v>
      </c>
    </row>
    <row r="52" spans="1:8" x14ac:dyDescent="0.25">
      <c r="A52">
        <v>129991105</v>
      </c>
      <c r="B52" s="1">
        <v>46158</v>
      </c>
      <c r="C52" t="s">
        <v>18</v>
      </c>
      <c r="D52" t="s">
        <v>15</v>
      </c>
      <c r="E52">
        <v>2.8</v>
      </c>
      <c r="F52">
        <v>1.44</v>
      </c>
      <c r="G52" t="s">
        <v>30</v>
      </c>
      <c r="H52" s="2">
        <v>46154.669618055559</v>
      </c>
    </row>
    <row r="53" spans="1:8" x14ac:dyDescent="0.25">
      <c r="A53">
        <v>129991105</v>
      </c>
      <c r="B53" s="1">
        <v>46158</v>
      </c>
      <c r="C53" t="s">
        <v>18</v>
      </c>
      <c r="D53" t="s">
        <v>15</v>
      </c>
      <c r="E53">
        <v>2.8</v>
      </c>
      <c r="F53">
        <v>1.44</v>
      </c>
      <c r="G53" t="s">
        <v>29</v>
      </c>
      <c r="H53" s="2">
        <v>46154.669791666667</v>
      </c>
    </row>
    <row r="54" spans="1:8" x14ac:dyDescent="0.25">
      <c r="A54">
        <v>129991105</v>
      </c>
      <c r="B54" s="1">
        <v>46158</v>
      </c>
      <c r="C54" t="s">
        <v>18</v>
      </c>
      <c r="D54" t="s">
        <v>15</v>
      </c>
      <c r="E54">
        <v>2.7</v>
      </c>
      <c r="F54">
        <v>1.45</v>
      </c>
      <c r="G54" t="s">
        <v>33</v>
      </c>
      <c r="H54" s="2">
        <v>46154.669629629629</v>
      </c>
    </row>
    <row r="55" spans="1:8" x14ac:dyDescent="0.25">
      <c r="A55">
        <v>129991105</v>
      </c>
      <c r="B55" s="1">
        <v>46158</v>
      </c>
      <c r="C55" t="s">
        <v>18</v>
      </c>
      <c r="D55" t="s">
        <v>15</v>
      </c>
      <c r="E55">
        <v>2.8</v>
      </c>
      <c r="F55">
        <v>1.42</v>
      </c>
      <c r="G55" t="s">
        <v>31</v>
      </c>
      <c r="H55" s="2">
        <v>46154.670104166667</v>
      </c>
    </row>
    <row r="56" spans="1:8" x14ac:dyDescent="0.25">
      <c r="A56">
        <v>129991105</v>
      </c>
      <c r="B56" s="1">
        <v>46158</v>
      </c>
      <c r="C56" t="s">
        <v>18</v>
      </c>
      <c r="D56" t="s">
        <v>15</v>
      </c>
      <c r="E56">
        <v>2.75</v>
      </c>
      <c r="F56">
        <v>1.45</v>
      </c>
      <c r="G56" t="s">
        <v>32</v>
      </c>
      <c r="H56" s="2">
        <v>46154.670092592591</v>
      </c>
    </row>
    <row r="57" spans="1:8" x14ac:dyDescent="0.25">
      <c r="A57">
        <v>129991106</v>
      </c>
      <c r="B57" s="1">
        <v>46159</v>
      </c>
      <c r="C57" t="s">
        <v>22</v>
      </c>
      <c r="D57" t="s">
        <v>17</v>
      </c>
      <c r="E57">
        <v>3.5</v>
      </c>
      <c r="F57">
        <v>1.31</v>
      </c>
      <c r="G57" t="s">
        <v>23</v>
      </c>
      <c r="H57" s="2">
        <v>46154.669942129629</v>
      </c>
    </row>
    <row r="58" spans="1:8" x14ac:dyDescent="0.25">
      <c r="A58">
        <v>129991106</v>
      </c>
      <c r="B58" s="1">
        <v>46159</v>
      </c>
      <c r="C58" t="s">
        <v>22</v>
      </c>
      <c r="D58" t="s">
        <v>17</v>
      </c>
      <c r="E58">
        <v>3.4</v>
      </c>
      <c r="F58">
        <v>1.32</v>
      </c>
      <c r="G58" t="s">
        <v>24</v>
      </c>
      <c r="H58" s="2">
        <v>46154.669629629629</v>
      </c>
    </row>
    <row r="59" spans="1:8" x14ac:dyDescent="0.25">
      <c r="A59">
        <v>129991106</v>
      </c>
      <c r="B59" s="1">
        <v>46159</v>
      </c>
      <c r="C59" t="s">
        <v>22</v>
      </c>
      <c r="D59" t="s">
        <v>17</v>
      </c>
      <c r="E59">
        <v>3.35</v>
      </c>
      <c r="F59">
        <v>1.33</v>
      </c>
      <c r="G59" t="s">
        <v>25</v>
      </c>
      <c r="H59" s="2">
        <v>46154.669942129629</v>
      </c>
    </row>
    <row r="60" spans="1:8" x14ac:dyDescent="0.25">
      <c r="A60">
        <v>129991106</v>
      </c>
      <c r="B60" s="1">
        <v>46159</v>
      </c>
      <c r="C60" t="s">
        <v>22</v>
      </c>
      <c r="D60" t="s">
        <v>17</v>
      </c>
      <c r="E60">
        <v>3.65</v>
      </c>
      <c r="F60">
        <v>1.04</v>
      </c>
      <c r="G60" t="s">
        <v>26</v>
      </c>
      <c r="H60" s="2">
        <v>46154.669953703706</v>
      </c>
    </row>
    <row r="61" spans="1:8" x14ac:dyDescent="0.25">
      <c r="A61">
        <v>129991106</v>
      </c>
      <c r="B61" s="1">
        <v>46159</v>
      </c>
      <c r="C61" t="s">
        <v>22</v>
      </c>
      <c r="D61" t="s">
        <v>17</v>
      </c>
      <c r="E61">
        <v>3.4</v>
      </c>
      <c r="F61">
        <v>1.32</v>
      </c>
      <c r="G61" t="s">
        <v>27</v>
      </c>
      <c r="H61" s="2">
        <v>46154.669803240744</v>
      </c>
    </row>
    <row r="62" spans="1:8" x14ac:dyDescent="0.25">
      <c r="A62">
        <v>129991106</v>
      </c>
      <c r="B62" s="1">
        <v>46159</v>
      </c>
      <c r="C62" t="s">
        <v>22</v>
      </c>
      <c r="D62" t="s">
        <v>17</v>
      </c>
      <c r="E62">
        <v>3.45</v>
      </c>
      <c r="F62">
        <v>1.3</v>
      </c>
      <c r="G62" t="s">
        <v>28</v>
      </c>
      <c r="H62" s="2">
        <v>46154.669942129629</v>
      </c>
    </row>
    <row r="63" spans="1:8" x14ac:dyDescent="0.25">
      <c r="A63">
        <v>129991106</v>
      </c>
      <c r="B63" s="1">
        <v>46159</v>
      </c>
      <c r="C63" t="s">
        <v>22</v>
      </c>
      <c r="D63" t="s">
        <v>17</v>
      </c>
      <c r="E63">
        <v>3.35</v>
      </c>
      <c r="F63">
        <v>1.33</v>
      </c>
      <c r="G63" t="s">
        <v>29</v>
      </c>
      <c r="H63" s="2">
        <v>46154.669791666667</v>
      </c>
    </row>
    <row r="64" spans="1:8" x14ac:dyDescent="0.25">
      <c r="A64">
        <v>129991106</v>
      </c>
      <c r="B64" s="1">
        <v>46159</v>
      </c>
      <c r="C64" t="s">
        <v>22</v>
      </c>
      <c r="D64" t="s">
        <v>17</v>
      </c>
      <c r="E64">
        <v>3.35</v>
      </c>
      <c r="F64">
        <v>1.33</v>
      </c>
      <c r="G64" t="s">
        <v>30</v>
      </c>
      <c r="H64" s="2">
        <v>46154.669618055559</v>
      </c>
    </row>
    <row r="65" spans="1:8" x14ac:dyDescent="0.25">
      <c r="A65">
        <v>129991106</v>
      </c>
      <c r="B65" s="1">
        <v>46159</v>
      </c>
      <c r="C65" t="s">
        <v>22</v>
      </c>
      <c r="D65" t="s">
        <v>17</v>
      </c>
      <c r="E65">
        <v>3.4</v>
      </c>
      <c r="F65">
        <v>1.32</v>
      </c>
      <c r="G65" t="s">
        <v>32</v>
      </c>
      <c r="H65" s="2">
        <v>46154.670092592591</v>
      </c>
    </row>
    <row r="66" spans="1:8" x14ac:dyDescent="0.25">
      <c r="A66">
        <v>129991106</v>
      </c>
      <c r="B66" s="1">
        <v>46159</v>
      </c>
      <c r="C66" t="s">
        <v>22</v>
      </c>
      <c r="D66" t="s">
        <v>17</v>
      </c>
      <c r="E66">
        <v>3.35</v>
      </c>
      <c r="F66">
        <v>1.32</v>
      </c>
      <c r="G66" t="s">
        <v>33</v>
      </c>
      <c r="H66" s="2">
        <v>46154.669629629629</v>
      </c>
    </row>
    <row r="67" spans="1:8" x14ac:dyDescent="0.25">
      <c r="A67">
        <v>129991106</v>
      </c>
      <c r="B67" s="1">
        <v>46159</v>
      </c>
      <c r="C67" t="s">
        <v>22</v>
      </c>
      <c r="D67" t="s">
        <v>17</v>
      </c>
      <c r="E67">
        <v>3.4</v>
      </c>
      <c r="F67">
        <v>1.3</v>
      </c>
      <c r="G67" t="s">
        <v>31</v>
      </c>
      <c r="H67" s="2">
        <v>46154.670104166667</v>
      </c>
    </row>
    <row r="68" spans="1:8" x14ac:dyDescent="0.25">
      <c r="A68">
        <v>129991107</v>
      </c>
      <c r="B68" s="1">
        <v>46159</v>
      </c>
      <c r="C68" t="s">
        <v>13</v>
      </c>
      <c r="D68" t="s">
        <v>9</v>
      </c>
      <c r="E68">
        <v>1.71</v>
      </c>
      <c r="F68">
        <v>2.14</v>
      </c>
      <c r="G68" t="s">
        <v>23</v>
      </c>
      <c r="H68" s="2">
        <v>46154.669942129629</v>
      </c>
    </row>
    <row r="69" spans="1:8" x14ac:dyDescent="0.25">
      <c r="A69">
        <v>129991107</v>
      </c>
      <c r="B69" s="1">
        <v>46159</v>
      </c>
      <c r="C69" t="s">
        <v>13</v>
      </c>
      <c r="D69" t="s">
        <v>9</v>
      </c>
      <c r="E69">
        <v>1.7</v>
      </c>
      <c r="F69">
        <v>2.15</v>
      </c>
      <c r="G69" t="s">
        <v>24</v>
      </c>
      <c r="H69" s="2">
        <v>46154.669629629629</v>
      </c>
    </row>
    <row r="70" spans="1:8" x14ac:dyDescent="0.25">
      <c r="A70">
        <v>129991107</v>
      </c>
      <c r="B70" s="1">
        <v>46159</v>
      </c>
      <c r="C70" t="s">
        <v>13</v>
      </c>
      <c r="D70" t="s">
        <v>9</v>
      </c>
      <c r="E70">
        <v>1.71</v>
      </c>
      <c r="F70">
        <v>2.14</v>
      </c>
      <c r="G70" t="s">
        <v>25</v>
      </c>
      <c r="H70" s="2">
        <v>46154.669942129629</v>
      </c>
    </row>
    <row r="71" spans="1:8" x14ac:dyDescent="0.25">
      <c r="A71">
        <v>129991107</v>
      </c>
      <c r="B71" s="1">
        <v>46159</v>
      </c>
      <c r="C71" t="s">
        <v>13</v>
      </c>
      <c r="D71" t="s">
        <v>9</v>
      </c>
      <c r="E71">
        <v>1.68</v>
      </c>
      <c r="F71">
        <v>2.3199999999999998</v>
      </c>
      <c r="G71" t="s">
        <v>26</v>
      </c>
      <c r="H71" s="2">
        <v>46154.669953703706</v>
      </c>
    </row>
    <row r="72" spans="1:8" x14ac:dyDescent="0.25">
      <c r="A72">
        <v>129991107</v>
      </c>
      <c r="B72" s="1">
        <v>46159</v>
      </c>
      <c r="C72" t="s">
        <v>13</v>
      </c>
      <c r="D72" t="s">
        <v>9</v>
      </c>
      <c r="E72">
        <v>1.67</v>
      </c>
      <c r="F72">
        <v>2.2000000000000002</v>
      </c>
      <c r="G72" t="s">
        <v>27</v>
      </c>
      <c r="H72" s="2">
        <v>46154.669803240744</v>
      </c>
    </row>
    <row r="73" spans="1:8" x14ac:dyDescent="0.25">
      <c r="A73">
        <v>129991107</v>
      </c>
      <c r="B73" s="1">
        <v>46159</v>
      </c>
      <c r="C73" t="s">
        <v>13</v>
      </c>
      <c r="D73" t="s">
        <v>9</v>
      </c>
      <c r="E73">
        <v>1.73</v>
      </c>
      <c r="F73">
        <v>2.1</v>
      </c>
      <c r="G73" t="s">
        <v>28</v>
      </c>
      <c r="H73" s="2">
        <v>46154.669942129629</v>
      </c>
    </row>
    <row r="74" spans="1:8" x14ac:dyDescent="0.25">
      <c r="A74">
        <v>129991107</v>
      </c>
      <c r="B74" s="1">
        <v>46159</v>
      </c>
      <c r="C74" t="s">
        <v>13</v>
      </c>
      <c r="D74" t="s">
        <v>9</v>
      </c>
      <c r="E74">
        <v>1.7</v>
      </c>
      <c r="F74">
        <v>2.15</v>
      </c>
      <c r="G74" t="s">
        <v>29</v>
      </c>
      <c r="H74" s="2">
        <v>46154.669791666667</v>
      </c>
    </row>
    <row r="75" spans="1:8" x14ac:dyDescent="0.25">
      <c r="A75">
        <v>129991107</v>
      </c>
      <c r="B75" s="1">
        <v>46159</v>
      </c>
      <c r="C75" t="s">
        <v>13</v>
      </c>
      <c r="D75" t="s">
        <v>9</v>
      </c>
      <c r="E75">
        <v>1.7</v>
      </c>
      <c r="F75">
        <v>2.15</v>
      </c>
      <c r="G75" t="s">
        <v>30</v>
      </c>
      <c r="H75" s="2">
        <v>46154.669618055559</v>
      </c>
    </row>
    <row r="76" spans="1:8" x14ac:dyDescent="0.25">
      <c r="A76">
        <v>129991107</v>
      </c>
      <c r="B76" s="1">
        <v>46159</v>
      </c>
      <c r="C76" t="s">
        <v>13</v>
      </c>
      <c r="D76" t="s">
        <v>9</v>
      </c>
      <c r="E76">
        <v>1.67</v>
      </c>
      <c r="F76">
        <v>2.1800000000000002</v>
      </c>
      <c r="G76" t="s">
        <v>33</v>
      </c>
      <c r="H76" s="2">
        <v>46154.669629629629</v>
      </c>
    </row>
    <row r="77" spans="1:8" x14ac:dyDescent="0.25">
      <c r="A77">
        <v>129991107</v>
      </c>
      <c r="B77" s="1">
        <v>46159</v>
      </c>
      <c r="C77" t="s">
        <v>13</v>
      </c>
      <c r="D77" t="s">
        <v>9</v>
      </c>
      <c r="E77">
        <v>1.68</v>
      </c>
      <c r="F77">
        <v>2.2000000000000002</v>
      </c>
      <c r="G77" t="s">
        <v>32</v>
      </c>
      <c r="H77" s="2">
        <v>46154.670092592591</v>
      </c>
    </row>
    <row r="78" spans="1:8" x14ac:dyDescent="0.25">
      <c r="A78">
        <v>129991107</v>
      </c>
      <c r="B78" s="1">
        <v>46159</v>
      </c>
      <c r="C78" t="s">
        <v>13</v>
      </c>
      <c r="D78" t="s">
        <v>9</v>
      </c>
      <c r="E78">
        <v>1.65</v>
      </c>
      <c r="F78">
        <v>2.2000000000000002</v>
      </c>
      <c r="G78" t="s">
        <v>31</v>
      </c>
      <c r="H78" s="2">
        <v>46154.670104166667</v>
      </c>
    </row>
    <row r="79" spans="1:8" x14ac:dyDescent="0.25">
      <c r="A79">
        <v>129991108</v>
      </c>
      <c r="B79" s="1">
        <v>46159</v>
      </c>
      <c r="C79" t="s">
        <v>16</v>
      </c>
      <c r="D79" t="s">
        <v>11</v>
      </c>
      <c r="E79">
        <v>1.04</v>
      </c>
      <c r="F79">
        <v>11</v>
      </c>
      <c r="G79" t="s">
        <v>23</v>
      </c>
      <c r="H79" s="2">
        <v>46154.669942129629</v>
      </c>
    </row>
    <row r="80" spans="1:8" x14ac:dyDescent="0.25">
      <c r="A80">
        <v>129991108</v>
      </c>
      <c r="B80" s="1">
        <v>46159</v>
      </c>
      <c r="C80" t="s">
        <v>16</v>
      </c>
      <c r="D80" t="s">
        <v>11</v>
      </c>
      <c r="E80">
        <v>1.03</v>
      </c>
      <c r="F80">
        <v>13</v>
      </c>
      <c r="G80" t="s">
        <v>24</v>
      </c>
      <c r="H80" s="2">
        <v>46154.669629629629</v>
      </c>
    </row>
    <row r="81" spans="1:8" x14ac:dyDescent="0.25">
      <c r="A81">
        <v>129991108</v>
      </c>
      <c r="B81" s="1">
        <v>46159</v>
      </c>
      <c r="C81" t="s">
        <v>16</v>
      </c>
      <c r="D81" t="s">
        <v>11</v>
      </c>
      <c r="E81">
        <v>1.04</v>
      </c>
      <c r="F81">
        <v>10</v>
      </c>
      <c r="G81" t="s">
        <v>25</v>
      </c>
      <c r="H81" s="2">
        <v>46154.669942129629</v>
      </c>
    </row>
    <row r="82" spans="1:8" x14ac:dyDescent="0.25">
      <c r="A82">
        <v>129991108</v>
      </c>
      <c r="B82" s="1">
        <v>46159</v>
      </c>
      <c r="C82" t="s">
        <v>16</v>
      </c>
      <c r="D82" t="s">
        <v>11</v>
      </c>
      <c r="E82">
        <v>1.06</v>
      </c>
      <c r="F82">
        <v>14.5</v>
      </c>
      <c r="G82" t="s">
        <v>26</v>
      </c>
      <c r="H82" s="2">
        <v>46154.669953703706</v>
      </c>
    </row>
    <row r="83" spans="1:8" x14ac:dyDescent="0.25">
      <c r="A83">
        <v>129991108</v>
      </c>
      <c r="B83" s="1">
        <v>46159</v>
      </c>
      <c r="C83" t="s">
        <v>16</v>
      </c>
      <c r="D83" t="s">
        <v>11</v>
      </c>
      <c r="E83">
        <v>1.05</v>
      </c>
      <c r="F83">
        <v>10</v>
      </c>
      <c r="G83" t="s">
        <v>27</v>
      </c>
      <c r="H83" s="2">
        <v>46154.669803240744</v>
      </c>
    </row>
    <row r="84" spans="1:8" x14ac:dyDescent="0.25">
      <c r="A84">
        <v>129991108</v>
      </c>
      <c r="B84" s="1">
        <v>46159</v>
      </c>
      <c r="C84" t="s">
        <v>16</v>
      </c>
      <c r="D84" t="s">
        <v>11</v>
      </c>
      <c r="E84">
        <v>1.03</v>
      </c>
      <c r="F84">
        <v>11</v>
      </c>
      <c r="G84" t="s">
        <v>28</v>
      </c>
      <c r="H84" s="2">
        <v>46154.669942129629</v>
      </c>
    </row>
    <row r="85" spans="1:8" x14ac:dyDescent="0.25">
      <c r="A85">
        <v>129991108</v>
      </c>
      <c r="B85" s="1">
        <v>46159</v>
      </c>
      <c r="C85" t="s">
        <v>16</v>
      </c>
      <c r="D85" t="s">
        <v>11</v>
      </c>
      <c r="E85">
        <v>1.05</v>
      </c>
      <c r="F85">
        <v>10.5</v>
      </c>
      <c r="G85" t="s">
        <v>29</v>
      </c>
      <c r="H85" s="2">
        <v>46154.669791666667</v>
      </c>
    </row>
    <row r="86" spans="1:8" x14ac:dyDescent="0.25">
      <c r="A86">
        <v>129991108</v>
      </c>
      <c r="B86" s="1">
        <v>46159</v>
      </c>
      <c r="C86" t="s">
        <v>16</v>
      </c>
      <c r="D86" t="s">
        <v>11</v>
      </c>
      <c r="E86">
        <v>1.05</v>
      </c>
      <c r="F86">
        <v>10.5</v>
      </c>
      <c r="G86" t="s">
        <v>30</v>
      </c>
      <c r="H86" s="2">
        <v>46154.669618055559</v>
      </c>
    </row>
    <row r="87" spans="1:8" x14ac:dyDescent="0.25">
      <c r="A87">
        <v>129991108</v>
      </c>
      <c r="B87" s="1">
        <v>46159</v>
      </c>
      <c r="C87" t="s">
        <v>16</v>
      </c>
      <c r="D87" t="s">
        <v>11</v>
      </c>
      <c r="E87">
        <v>1.04</v>
      </c>
      <c r="F87">
        <v>11</v>
      </c>
      <c r="G87" t="s">
        <v>33</v>
      </c>
      <c r="H87" s="2">
        <v>46154.669629629629</v>
      </c>
    </row>
    <row r="88" spans="1:8" x14ac:dyDescent="0.25">
      <c r="A88">
        <v>129991108</v>
      </c>
      <c r="B88" s="1">
        <v>46159</v>
      </c>
      <c r="C88" t="s">
        <v>16</v>
      </c>
      <c r="D88" t="s">
        <v>11</v>
      </c>
      <c r="E88">
        <v>1.04</v>
      </c>
      <c r="F88">
        <v>11</v>
      </c>
      <c r="G88" t="s">
        <v>32</v>
      </c>
      <c r="H88" s="2">
        <v>46154.670092592591</v>
      </c>
    </row>
    <row r="89" spans="1:8" x14ac:dyDescent="0.25">
      <c r="A89">
        <v>129991108</v>
      </c>
      <c r="B89" s="1">
        <v>46159</v>
      </c>
      <c r="C89" t="s">
        <v>16</v>
      </c>
      <c r="D89" t="s">
        <v>11</v>
      </c>
      <c r="E89">
        <v>1.03</v>
      </c>
      <c r="F89">
        <v>11</v>
      </c>
      <c r="G89" t="s">
        <v>31</v>
      </c>
      <c r="H89" s="2">
        <v>46154.670104166667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34A8-A6AF-4BE1-8714-733ABCED5E7F}">
  <dimension ref="A1:H9"/>
  <sheetViews>
    <sheetView workbookViewId="0"/>
  </sheetViews>
  <sheetFormatPr defaultRowHeight="15" x14ac:dyDescent="0.25"/>
  <cols>
    <col min="1" max="1" width="11.42578125" bestFit="1" customWidth="1"/>
    <col min="2" max="2" width="10.5703125" bestFit="1" customWidth="1"/>
    <col min="3" max="3" width="14" bestFit="1" customWidth="1"/>
    <col min="4" max="4" width="13.42578125" bestFit="1" customWidth="1"/>
    <col min="5" max="5" width="12.85546875" bestFit="1" customWidth="1"/>
    <col min="6" max="6" width="12.42578125" bestFit="1" customWidth="1"/>
    <col min="7" max="7" width="13.28515625" bestFit="1" customWidth="1"/>
    <col min="8" max="9" width="14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2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25">
      <c r="A2">
        <v>129991101</v>
      </c>
      <c r="B2" s="1">
        <v>46157</v>
      </c>
      <c r="C2" t="s">
        <v>6</v>
      </c>
      <c r="D2" t="s">
        <v>8</v>
      </c>
      <c r="E2">
        <v>1.48</v>
      </c>
      <c r="F2">
        <v>2.67</v>
      </c>
      <c r="G2" t="s">
        <v>23</v>
      </c>
      <c r="H2" t="s">
        <v>46</v>
      </c>
    </row>
    <row r="3" spans="1:8" x14ac:dyDescent="0.25">
      <c r="A3">
        <v>129991102</v>
      </c>
      <c r="B3" s="1">
        <v>46157</v>
      </c>
      <c r="C3" t="s">
        <v>14</v>
      </c>
      <c r="D3" t="s">
        <v>12</v>
      </c>
      <c r="E3">
        <v>2.0499999999999998</v>
      </c>
      <c r="F3">
        <v>1.77</v>
      </c>
      <c r="G3" t="s">
        <v>27</v>
      </c>
      <c r="H3" t="s">
        <v>47</v>
      </c>
    </row>
    <row r="4" spans="1:8" x14ac:dyDescent="0.25">
      <c r="A4">
        <v>129991103</v>
      </c>
      <c r="B4" s="1">
        <v>46158</v>
      </c>
      <c r="C4" t="s">
        <v>5</v>
      </c>
      <c r="D4" t="s">
        <v>19</v>
      </c>
      <c r="E4">
        <v>3.7</v>
      </c>
      <c r="F4">
        <v>1.28</v>
      </c>
      <c r="G4" t="s">
        <v>27</v>
      </c>
      <c r="H4" t="s">
        <v>47</v>
      </c>
    </row>
    <row r="5" spans="1:8" x14ac:dyDescent="0.25">
      <c r="A5">
        <v>129991104</v>
      </c>
      <c r="B5" s="1">
        <v>46158</v>
      </c>
      <c r="C5" t="s">
        <v>10</v>
      </c>
      <c r="D5" t="s">
        <v>7</v>
      </c>
      <c r="E5">
        <v>1.19</v>
      </c>
      <c r="F5">
        <v>4.75</v>
      </c>
      <c r="G5" t="s">
        <v>25</v>
      </c>
      <c r="H5" t="s">
        <v>46</v>
      </c>
    </row>
    <row r="6" spans="1:8" x14ac:dyDescent="0.25">
      <c r="A6">
        <v>129991105</v>
      </c>
      <c r="B6" s="1">
        <v>46158</v>
      </c>
      <c r="C6" t="s">
        <v>18</v>
      </c>
      <c r="D6" t="s">
        <v>15</v>
      </c>
      <c r="E6">
        <v>3.14</v>
      </c>
      <c r="F6">
        <v>1.37</v>
      </c>
      <c r="G6" t="s">
        <v>23</v>
      </c>
      <c r="H6" t="s">
        <v>47</v>
      </c>
    </row>
    <row r="7" spans="1:8" x14ac:dyDescent="0.25">
      <c r="A7">
        <v>129991106</v>
      </c>
      <c r="B7" s="1">
        <v>46159</v>
      </c>
      <c r="C7" t="s">
        <v>22</v>
      </c>
      <c r="D7" t="s">
        <v>17</v>
      </c>
      <c r="E7">
        <v>3.65</v>
      </c>
      <c r="F7">
        <v>1.04</v>
      </c>
      <c r="G7" t="s">
        <v>26</v>
      </c>
      <c r="H7" t="s">
        <v>47</v>
      </c>
    </row>
    <row r="8" spans="1:8" x14ac:dyDescent="0.25">
      <c r="A8">
        <v>129991107</v>
      </c>
      <c r="B8" s="1">
        <v>46159</v>
      </c>
      <c r="C8" t="s">
        <v>13</v>
      </c>
      <c r="D8" t="s">
        <v>9</v>
      </c>
      <c r="E8">
        <v>1.68</v>
      </c>
      <c r="F8">
        <v>2.3199999999999998</v>
      </c>
      <c r="G8" t="s">
        <v>26</v>
      </c>
      <c r="H8" t="s">
        <v>46</v>
      </c>
    </row>
    <row r="9" spans="1:8" x14ac:dyDescent="0.25">
      <c r="A9">
        <v>129991108</v>
      </c>
      <c r="B9" s="1">
        <v>46159</v>
      </c>
      <c r="C9" t="s">
        <v>16</v>
      </c>
      <c r="D9" t="s">
        <v>11</v>
      </c>
      <c r="E9">
        <v>1.06</v>
      </c>
      <c r="F9">
        <v>14.5</v>
      </c>
      <c r="G9" t="s">
        <v>26</v>
      </c>
      <c r="H9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08506-DA0D-445E-BF88-10552FF26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 Betting Table</vt:lpstr>
      <vt:lpstr>prediction_log</vt:lpstr>
      <vt:lpstr>odds_log</vt:lpstr>
      <vt:lpstr>odd_log</vt:lpstr>
      <vt:lpstr>bets_log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Galea</dc:creator>
  <cp:lastModifiedBy>Jack Galea</cp:lastModifiedBy>
  <dcterms:created xsi:type="dcterms:W3CDTF">2015-06-05T18:17:20Z</dcterms:created>
  <dcterms:modified xsi:type="dcterms:W3CDTF">2026-07-24T05:37:02Z</dcterms:modified>
</cp:coreProperties>
</file>